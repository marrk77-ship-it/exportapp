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wkumamoto-my.sharepoint.com/personal/mori_twkumamoto_onmicrosoft_com/Documents/社内/04_宣伝広報業務/OS様業務改善/"/>
    </mc:Choice>
  </mc:AlternateContent>
  <xr:revisionPtr revIDLastSave="21" documentId="8_{4C361AFF-98AC-48DC-8115-74E02C7E2F95}" xr6:coauthVersionLast="47" xr6:coauthVersionMax="47" xr10:uidLastSave="{C2C6DB07-516F-4A8F-92E6-F62DA4D85C31}"/>
  <bookViews>
    <workbookView xWindow="28680" yWindow="-60" windowWidth="29040" windowHeight="15720" tabRatio="757" activeTab="3" xr2:uid="{00000000-000D-0000-FFFF-FFFF00000000}"/>
  </bookViews>
  <sheets>
    <sheet name="基本データ" sheetId="8" r:id="rId1"/>
    <sheet name="納入・納付申告書" sheetId="7" r:id="rId2"/>
    <sheet name="附表１" sheetId="9" r:id="rId3"/>
    <sheet name="委附表2" sheetId="10" r:id="rId4"/>
    <sheet name="自附表2" sheetId="18" r:id="rId5"/>
  </sheets>
  <externalReferences>
    <externalReference r:id="rId6"/>
  </externalReferences>
  <definedNames>
    <definedName name="pic">INDEX(納入・納付申告書!A1:D2,1,0)</definedName>
    <definedName name="_xlnm.Print_Area" localSheetId="3">委附表2!$B$2:$BB$94</definedName>
    <definedName name="_xlnm.Print_Area" localSheetId="4">自附表2!$B$2:$BB$94</definedName>
    <definedName name="_xlnm.Print_Area" localSheetId="1">納入・納付申告書!$B$2:$BU$62</definedName>
    <definedName name="_xlnm.Print_Area" localSheetId="2">附表１!$B$2:$BX$31</definedName>
    <definedName name="特徴者">[1]特徴者!$B$2:$B$42</definedName>
    <definedName name="特徴者一覧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7" l="1"/>
  <c r="CA41" i="7"/>
  <c r="CA43" i="7"/>
  <c r="CA44" i="7" s="1"/>
  <c r="H1" i="8"/>
  <c r="K1" i="8" s="1"/>
  <c r="P14" i="8"/>
  <c r="T18" i="8" s="1"/>
  <c r="U18" i="8" s="1"/>
  <c r="V18" i="8" s="1"/>
  <c r="AE90" i="10"/>
  <c r="AE89" i="10"/>
  <c r="AE89" i="18"/>
  <c r="AI89" i="18"/>
  <c r="AS89" i="18"/>
  <c r="AI89" i="10"/>
  <c r="AS89" i="10"/>
  <c r="AE88" i="10"/>
  <c r="AE87" i="10"/>
  <c r="AE87" i="18"/>
  <c r="AI87" i="18"/>
  <c r="AS87" i="18"/>
  <c r="AI87" i="10"/>
  <c r="AS87" i="10"/>
  <c r="AE86" i="10"/>
  <c r="AE85" i="10"/>
  <c r="AE85" i="18"/>
  <c r="AI85" i="18"/>
  <c r="AS85" i="18"/>
  <c r="AI85" i="10"/>
  <c r="AS85" i="10"/>
  <c r="AE84" i="10"/>
  <c r="AE83" i="10"/>
  <c r="AE83" i="18"/>
  <c r="AI83" i="18"/>
  <c r="AS83" i="18"/>
  <c r="AE82" i="10"/>
  <c r="AE81" i="10"/>
  <c r="AI81" i="10"/>
  <c r="AS81" i="10"/>
  <c r="AE80" i="10"/>
  <c r="AE79" i="10"/>
  <c r="AI79" i="10"/>
  <c r="AS79" i="10"/>
  <c r="AE78" i="10"/>
  <c r="AE77" i="10"/>
  <c r="AE77" i="18"/>
  <c r="AI77" i="18"/>
  <c r="AS77" i="18"/>
  <c r="AE76" i="10"/>
  <c r="AE75" i="10"/>
  <c r="AE75" i="18"/>
  <c r="AI75" i="18"/>
  <c r="AS75" i="18"/>
  <c r="AI75" i="10"/>
  <c r="AS75" i="10"/>
  <c r="AE74" i="10"/>
  <c r="AE73" i="10"/>
  <c r="AE73" i="18"/>
  <c r="AI73" i="18"/>
  <c r="AE59" i="10"/>
  <c r="AE58" i="10"/>
  <c r="AE57" i="10"/>
  <c r="AE56" i="10"/>
  <c r="AE56" i="18"/>
  <c r="AI56" i="18"/>
  <c r="AS56" i="18"/>
  <c r="AI56" i="10"/>
  <c r="AS56" i="10"/>
  <c r="AE55" i="10"/>
  <c r="AE54" i="10"/>
  <c r="AE54" i="18"/>
  <c r="AI54" i="18"/>
  <c r="AS54" i="18"/>
  <c r="AE53" i="10"/>
  <c r="AE52" i="10"/>
  <c r="AE52" i="18"/>
  <c r="AI52" i="18"/>
  <c r="AS52" i="18"/>
  <c r="AE51" i="10"/>
  <c r="AE50" i="10"/>
  <c r="AE49" i="10"/>
  <c r="AE48" i="10"/>
  <c r="AE48" i="18"/>
  <c r="AI48" i="18"/>
  <c r="AS48" i="18"/>
  <c r="AI48" i="10"/>
  <c r="AS48" i="10"/>
  <c r="AE47" i="10"/>
  <c r="AE46" i="10"/>
  <c r="AE46" i="18"/>
  <c r="AI46" i="18"/>
  <c r="AS46" i="18"/>
  <c r="AE45" i="10"/>
  <c r="AI45" i="10"/>
  <c r="AS45" i="10"/>
  <c r="AE44" i="10"/>
  <c r="AE44" i="18"/>
  <c r="AI44" i="18"/>
  <c r="AS44" i="18"/>
  <c r="AI44" i="10"/>
  <c r="AS44" i="10"/>
  <c r="AE43" i="10"/>
  <c r="AE42" i="10"/>
  <c r="Y91" i="18"/>
  <c r="Y60" i="18"/>
  <c r="Y29" i="18"/>
  <c r="Y91" i="10"/>
  <c r="Y60" i="10"/>
  <c r="AE28" i="10"/>
  <c r="AI28" i="10"/>
  <c r="AS28" i="10"/>
  <c r="AE27" i="10"/>
  <c r="AE26" i="10"/>
  <c r="AE26" i="18"/>
  <c r="AI26" i="18"/>
  <c r="AS26" i="18"/>
  <c r="AI26" i="10"/>
  <c r="AS26" i="10"/>
  <c r="AE25" i="10"/>
  <c r="AI25" i="10"/>
  <c r="AS25" i="10"/>
  <c r="AE24" i="10"/>
  <c r="AE23" i="10"/>
  <c r="AI23" i="10"/>
  <c r="AS23" i="10"/>
  <c r="AE22" i="10"/>
  <c r="AE21" i="10"/>
  <c r="AI21" i="10"/>
  <c r="AS21" i="10" s="1"/>
  <c r="AE20" i="10"/>
  <c r="AI20" i="10"/>
  <c r="AS20" i="10"/>
  <c r="AE19" i="10"/>
  <c r="AI19" i="10"/>
  <c r="AS19" i="10"/>
  <c r="AE18" i="10"/>
  <c r="AE18" i="18"/>
  <c r="AI18" i="18"/>
  <c r="AS18" i="18"/>
  <c r="AE17" i="10"/>
  <c r="AE16" i="10"/>
  <c r="AE16" i="18"/>
  <c r="AI16" i="18"/>
  <c r="AS16" i="18"/>
  <c r="AE15" i="10"/>
  <c r="AI15" i="10"/>
  <c r="AS15" i="10"/>
  <c r="AE14" i="10"/>
  <c r="AE13" i="10"/>
  <c r="AI13" i="10"/>
  <c r="AS13" i="10" s="1"/>
  <c r="AE12" i="10"/>
  <c r="AI12" i="10"/>
  <c r="AS12" i="10"/>
  <c r="AE11" i="10"/>
  <c r="BN5" i="7"/>
  <c r="AN3" i="18"/>
  <c r="O29" i="18"/>
  <c r="AN34" i="18"/>
  <c r="O60" i="18"/>
  <c r="AN65" i="18"/>
  <c r="O91" i="18"/>
  <c r="AN65" i="10"/>
  <c r="AN34" i="10"/>
  <c r="AN3" i="10"/>
  <c r="O91" i="10"/>
  <c r="O60" i="10"/>
  <c r="O29" i="10"/>
  <c r="CM43" i="7"/>
  <c r="CF43" i="7"/>
  <c r="BA3" i="9"/>
  <c r="C23" i="7"/>
  <c r="AT5" i="7"/>
  <c r="C5" i="8"/>
  <c r="H7" i="8"/>
  <c r="K9" i="8"/>
  <c r="AE15" i="18"/>
  <c r="AI15" i="18"/>
  <c r="AS15" i="18"/>
  <c r="AE25" i="18"/>
  <c r="AI25" i="18"/>
  <c r="AS25" i="18"/>
  <c r="AI47" i="10"/>
  <c r="AS47" i="10"/>
  <c r="AE47" i="18"/>
  <c r="AI47" i="18"/>
  <c r="AS47" i="18"/>
  <c r="AI55" i="10"/>
  <c r="AS55" i="10"/>
  <c r="AE55" i="18"/>
  <c r="AI55" i="18"/>
  <c r="AS55" i="18"/>
  <c r="AI82" i="10"/>
  <c r="AS82" i="10"/>
  <c r="AE82" i="18"/>
  <c r="AI82" i="18"/>
  <c r="AS82" i="18"/>
  <c r="AI86" i="10"/>
  <c r="AS86" i="10"/>
  <c r="AE86" i="18"/>
  <c r="AI86" i="18"/>
  <c r="AS86" i="18"/>
  <c r="AI90" i="10"/>
  <c r="AS90" i="10"/>
  <c r="AE90" i="18"/>
  <c r="AI90" i="18"/>
  <c r="AS90" i="18"/>
  <c r="AE23" i="18"/>
  <c r="AI23" i="18"/>
  <c r="AS23" i="18"/>
  <c r="AI78" i="10"/>
  <c r="AS78" i="10"/>
  <c r="AE78" i="18"/>
  <c r="AI78" i="18"/>
  <c r="AS78" i="18"/>
  <c r="AE19" i="18"/>
  <c r="AI19" i="18"/>
  <c r="AS19" i="18"/>
  <c r="AI74" i="10"/>
  <c r="AS74" i="10"/>
  <c r="AE74" i="18"/>
  <c r="AI74" i="18"/>
  <c r="AS74" i="18"/>
  <c r="AE21" i="18"/>
  <c r="AI21" i="18"/>
  <c r="AS21" i="18"/>
  <c r="AE13" i="18"/>
  <c r="AI13" i="18"/>
  <c r="AS13" i="18"/>
  <c r="AI43" i="10"/>
  <c r="AS43" i="10"/>
  <c r="AE43" i="18"/>
  <c r="AI43" i="18"/>
  <c r="AS43" i="18"/>
  <c r="AI51" i="10"/>
  <c r="AS51" i="10"/>
  <c r="AE51" i="18"/>
  <c r="AI51" i="18"/>
  <c r="AS51" i="18"/>
  <c r="AI59" i="10"/>
  <c r="AS59" i="10"/>
  <c r="AE59" i="18"/>
  <c r="AI59" i="18"/>
  <c r="AS59" i="18"/>
  <c r="AI80" i="10"/>
  <c r="AS80" i="10"/>
  <c r="AE80" i="18"/>
  <c r="AI80" i="18"/>
  <c r="AS80" i="18"/>
  <c r="AI88" i="10"/>
  <c r="AS88" i="10"/>
  <c r="AE88" i="18"/>
  <c r="AI88" i="18"/>
  <c r="AS88" i="18"/>
  <c r="AI16" i="10"/>
  <c r="AS16" i="10" s="1"/>
  <c r="AE79" i="18"/>
  <c r="AI79" i="18"/>
  <c r="AS79" i="18"/>
  <c r="AI46" i="10"/>
  <c r="AS46" i="10"/>
  <c r="AI54" i="10"/>
  <c r="AS54" i="10"/>
  <c r="AI77" i="10"/>
  <c r="AS77" i="10"/>
  <c r="AI83" i="10"/>
  <c r="AS83" i="10"/>
  <c r="AE28" i="18"/>
  <c r="AI28" i="18"/>
  <c r="AS28" i="18"/>
  <c r="AI73" i="10"/>
  <c r="AS73" i="10"/>
  <c r="AI14" i="10"/>
  <c r="AS14" i="10"/>
  <c r="AE14" i="18"/>
  <c r="AI14" i="18"/>
  <c r="AS14" i="18"/>
  <c r="AI27" i="10"/>
  <c r="AS27" i="10"/>
  <c r="AE27" i="18"/>
  <c r="AI27" i="18"/>
  <c r="AS27" i="18"/>
  <c r="AI52" i="10"/>
  <c r="AS52" i="10"/>
  <c r="AI17" i="10"/>
  <c r="AS17" i="10"/>
  <c r="AE17" i="18"/>
  <c r="AI17" i="18"/>
  <c r="AS17" i="18"/>
  <c r="AI22" i="10"/>
  <c r="AS22" i="10"/>
  <c r="AE22" i="18"/>
  <c r="AI22" i="18"/>
  <c r="AS22" i="18"/>
  <c r="AS29" i="18" s="1"/>
  <c r="AJ13" i="9" s="1"/>
  <c r="AE81" i="18"/>
  <c r="AI81" i="18"/>
  <c r="AS81" i="18"/>
  <c r="AE20" i="18"/>
  <c r="AI20" i="18"/>
  <c r="AS20" i="18"/>
  <c r="AI18" i="10"/>
  <c r="AS18" i="10" s="1"/>
  <c r="AI11" i="10"/>
  <c r="AI29" i="10" s="1"/>
  <c r="AE11" i="18"/>
  <c r="AI11" i="18"/>
  <c r="AI49" i="10"/>
  <c r="AS49" i="10"/>
  <c r="AE49" i="18"/>
  <c r="AI49" i="18"/>
  <c r="AS49" i="18"/>
  <c r="AI57" i="10"/>
  <c r="AS57" i="10"/>
  <c r="AE57" i="18"/>
  <c r="AI57" i="18"/>
  <c r="AS57" i="18"/>
  <c r="AS11" i="18"/>
  <c r="AS73" i="18"/>
  <c r="AI24" i="10"/>
  <c r="AS24" i="10"/>
  <c r="AE24" i="18"/>
  <c r="AI24" i="18"/>
  <c r="AS24" i="18"/>
  <c r="AE58" i="18"/>
  <c r="AI58" i="18"/>
  <c r="AS58" i="18"/>
  <c r="AI58" i="10"/>
  <c r="AS58" i="10"/>
  <c r="AE76" i="18"/>
  <c r="AI76" i="18"/>
  <c r="AS76" i="18"/>
  <c r="AI76" i="10"/>
  <c r="AE12" i="18"/>
  <c r="AI12" i="18"/>
  <c r="AS12" i="18"/>
  <c r="AE45" i="18"/>
  <c r="AI45" i="18"/>
  <c r="AS45" i="18"/>
  <c r="AE42" i="18"/>
  <c r="AI42" i="18"/>
  <c r="AI42" i="10"/>
  <c r="AI60" i="10"/>
  <c r="AE50" i="18"/>
  <c r="AI50" i="18"/>
  <c r="AS50" i="18"/>
  <c r="AI50" i="10"/>
  <c r="AS50" i="10"/>
  <c r="AI53" i="10"/>
  <c r="AS53" i="10"/>
  <c r="AE53" i="18"/>
  <c r="AI53" i="18"/>
  <c r="AS53" i="18"/>
  <c r="AS60" i="18" s="1"/>
  <c r="AJ17" i="9" s="1"/>
  <c r="AI84" i="10"/>
  <c r="AS84" i="10"/>
  <c r="AE84" i="18"/>
  <c r="AI84" i="18"/>
  <c r="AS84" i="18"/>
  <c r="AS91" i="18" s="1"/>
  <c r="AJ21" i="9" s="1"/>
  <c r="AS42" i="10"/>
  <c r="AS42" i="18"/>
  <c r="AI60" i="18"/>
  <c r="AS76" i="10"/>
  <c r="AI91" i="10"/>
  <c r="AI29" i="18"/>
  <c r="AI91" i="18"/>
  <c r="T21" i="8" l="1"/>
  <c r="U21" i="8" s="1"/>
  <c r="V21" i="8" s="1"/>
  <c r="T27" i="8"/>
  <c r="U27" i="8" s="1"/>
  <c r="V27" i="8" s="1"/>
  <c r="T25" i="8"/>
  <c r="U25" i="8" s="1"/>
  <c r="V25" i="8" s="1"/>
  <c r="T28" i="8"/>
  <c r="U28" i="8" s="1"/>
  <c r="V28" i="8" s="1"/>
  <c r="T23" i="8"/>
  <c r="U23" i="8" s="1"/>
  <c r="V23" i="8" s="1"/>
  <c r="T22" i="8"/>
  <c r="U22" i="8" s="1"/>
  <c r="V22" i="8" s="1"/>
  <c r="AS11" i="10"/>
  <c r="AS29" i="10" s="1"/>
  <c r="O13" i="9" s="1"/>
  <c r="BE13" i="9" s="1"/>
  <c r="T24" i="8"/>
  <c r="U24" i="8" s="1"/>
  <c r="V24" i="8" s="1"/>
  <c r="T26" i="8"/>
  <c r="U26" i="8" s="1"/>
  <c r="V26" i="8" s="1"/>
  <c r="T20" i="8"/>
  <c r="U20" i="8" s="1"/>
  <c r="V20" i="8" s="1"/>
  <c r="T29" i="8"/>
  <c r="U29" i="8" s="1"/>
  <c r="V29" i="8" s="1"/>
  <c r="S19" i="8"/>
  <c r="T19" i="8" s="1"/>
  <c r="U19" i="8" s="1"/>
  <c r="V19" i="8" s="1"/>
  <c r="AS60" i="10"/>
  <c r="O17" i="9" s="1"/>
  <c r="BE17" i="9" s="1"/>
  <c r="CB43" i="7"/>
  <c r="K6" i="10" s="1"/>
  <c r="AJ25" i="9"/>
  <c r="BA47" i="7" s="1"/>
  <c r="BA51" i="7" s="1"/>
  <c r="AS91" i="10"/>
  <c r="O21" i="9" s="1"/>
  <c r="BE21" i="9" s="1"/>
  <c r="C17" i="9"/>
  <c r="CB44" i="7"/>
  <c r="CA45" i="7"/>
  <c r="C13" i="9"/>
  <c r="J1" i="8"/>
  <c r="I1" i="8"/>
  <c r="K6" i="18" l="1"/>
  <c r="O25" i="9"/>
  <c r="BA45" i="7" s="1"/>
  <c r="BA49" i="7" s="1"/>
  <c r="BE25" i="9"/>
  <c r="Q14" i="8"/>
  <c r="T14" i="8" s="1"/>
  <c r="C21" i="9"/>
  <c r="CB45" i="7"/>
  <c r="N18" i="8"/>
  <c r="O18" i="8" s="1"/>
  <c r="K37" i="10"/>
  <c r="K37" i="18"/>
  <c r="M1" i="8"/>
  <c r="C18" i="7" s="1"/>
  <c r="AR43" i="7" l="1"/>
  <c r="K68" i="10"/>
  <c r="K68" i="18"/>
  <c r="S6" i="9"/>
  <c r="T15" i="8"/>
  <c r="V15" i="8"/>
  <c r="U15" i="8"/>
  <c r="W14" i="8"/>
  <c r="W15" i="8"/>
  <c r="X14" i="8"/>
  <c r="V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V2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数式注意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kumamoto</author>
  </authors>
  <commentList>
    <comment ref="AZ40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納付申告がない場合、○を削除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kumamoto</author>
  </authors>
  <commentList>
    <comment ref="Y11" authorId="0" shapeId="0" xr:uid="{00000000-0006-0000-0300-000001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  <comment ref="Y42" authorId="0" shapeId="0" xr:uid="{00000000-0006-0000-0300-000002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  <comment ref="Y73" authorId="0" shapeId="0" xr:uid="{00000000-0006-0000-0300-000003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kumamoto</author>
  </authors>
  <commentList>
    <comment ref="Y11" authorId="0" shapeId="0" xr:uid="{00000000-0006-0000-0400-000001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  <comment ref="Y42" authorId="0" shapeId="0" xr:uid="{00000000-0006-0000-0400-000002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  <comment ref="Y73" authorId="0" shapeId="0" xr:uid="{00000000-0006-0000-0400-000003000000}">
      <text>
        <r>
          <rPr>
            <b/>
            <sz val="12"/>
            <color indexed="81"/>
            <rFont val="ＭＳ Ｐゴシック"/>
            <family val="3"/>
            <charset val="128"/>
          </rPr>
          <t>入力は、小数点以下第四位以下は、無効</t>
        </r>
      </text>
    </comment>
  </commentList>
</comments>
</file>

<file path=xl/sharedStrings.xml><?xml version="1.0" encoding="utf-8"?>
<sst xmlns="http://schemas.openxmlformats.org/spreadsheetml/2006/main" count="337" uniqueCount="125">
  <si>
    <t>受 付 印</t>
    <rPh sb="0" eb="1">
      <t>ウケ</t>
    </rPh>
    <rPh sb="2" eb="3">
      <t>ヅケ</t>
    </rPh>
    <rPh sb="4" eb="5">
      <t>イン</t>
    </rPh>
    <phoneticPr fontId="2"/>
  </si>
  <si>
    <t>印</t>
    <rPh sb="0" eb="1">
      <t>イン</t>
    </rPh>
    <phoneticPr fontId="2"/>
  </si>
  <si>
    <t>及び担当者氏名</t>
    <rPh sb="2" eb="5">
      <t>タントウシャ</t>
    </rPh>
    <rPh sb="5" eb="7">
      <t>シメイ</t>
    </rPh>
    <phoneticPr fontId="2"/>
  </si>
  <si>
    <t>所在地</t>
    <rPh sb="0" eb="3">
      <t>ショザイチ</t>
    </rPh>
    <phoneticPr fontId="2"/>
  </si>
  <si>
    <t>様</t>
    <rPh sb="0" eb="1">
      <t>サマ</t>
    </rPh>
    <phoneticPr fontId="2"/>
  </si>
  <si>
    <t>住所又は所在地</t>
    <rPh sb="0" eb="2">
      <t>ジュウショ</t>
    </rPh>
    <rPh sb="2" eb="3">
      <t>マタ</t>
    </rPh>
    <rPh sb="4" eb="7">
      <t>ショザイチ</t>
    </rPh>
    <phoneticPr fontId="2"/>
  </si>
  <si>
    <t>(注)</t>
    <rPh sb="1" eb="2">
      <t>チュウ</t>
    </rPh>
    <phoneticPr fontId="2"/>
  </si>
  <si>
    <t>　福岡県産業廃棄物税条例第10条第７項の規定により、下記のとおり登録事項の変更を申請します。</t>
    <rPh sb="1" eb="4">
      <t>フクオカケン</t>
    </rPh>
    <rPh sb="4" eb="6">
      <t>サンギョウ</t>
    </rPh>
    <rPh sb="6" eb="9">
      <t>ハイキブツ</t>
    </rPh>
    <rPh sb="9" eb="10">
      <t>ゼイ</t>
    </rPh>
    <rPh sb="10" eb="12">
      <t>ジョウレイ</t>
    </rPh>
    <rPh sb="12" eb="13">
      <t>ダイ</t>
    </rPh>
    <rPh sb="15" eb="16">
      <t>ジョウ</t>
    </rPh>
    <rPh sb="16" eb="17">
      <t>ダイ</t>
    </rPh>
    <rPh sb="18" eb="19">
      <t>コウ</t>
    </rPh>
    <rPh sb="20" eb="22">
      <t>キテイ</t>
    </rPh>
    <rPh sb="26" eb="28">
      <t>カキ</t>
    </rPh>
    <rPh sb="32" eb="34">
      <t>トウロク</t>
    </rPh>
    <rPh sb="34" eb="36">
      <t>ジコウ</t>
    </rPh>
    <rPh sb="37" eb="39">
      <t>ヘンコウ</t>
    </rPh>
    <rPh sb="40" eb="42">
      <t>シンセイ</t>
    </rPh>
    <phoneticPr fontId="2"/>
  </si>
  <si>
    <t>最終処分場</t>
    <rPh sb="0" eb="1">
      <t>サイ</t>
    </rPh>
    <rPh sb="1" eb="2">
      <t>オワリ</t>
    </rPh>
    <rPh sb="2" eb="3">
      <t>トコロ</t>
    </rPh>
    <rPh sb="3" eb="4">
      <t>ブン</t>
    </rPh>
    <rPh sb="4" eb="5">
      <t>バ</t>
    </rPh>
    <phoneticPr fontId="2"/>
  </si>
  <si>
    <t>実績月</t>
    <rPh sb="0" eb="2">
      <t>ジッセキ</t>
    </rPh>
    <rPh sb="2" eb="3">
      <t>ゲツ</t>
    </rPh>
    <phoneticPr fontId="2"/>
  </si>
  <si>
    <t>備考</t>
    <rPh sb="0" eb="2">
      <t>ビコウ</t>
    </rPh>
    <phoneticPr fontId="2"/>
  </si>
  <si>
    <t>氏名又は名称</t>
    <rPh sb="0" eb="2">
      <t>シメイ</t>
    </rPh>
    <rPh sb="2" eb="3">
      <t>マタ</t>
    </rPh>
    <rPh sb="4" eb="6">
      <t>メイショウ</t>
    </rPh>
    <phoneticPr fontId="2"/>
  </si>
  <si>
    <t>※　納税者番号</t>
    <rPh sb="2" eb="5">
      <t>ノウゼイシャ</t>
    </rPh>
    <rPh sb="5" eb="7">
      <t>バンゴウ</t>
    </rPh>
    <phoneticPr fontId="2"/>
  </si>
  <si>
    <t>納　入</t>
    <rPh sb="0" eb="1">
      <t>オサム</t>
    </rPh>
    <rPh sb="2" eb="3">
      <t>イ</t>
    </rPh>
    <phoneticPr fontId="2"/>
  </si>
  <si>
    <t>納　付</t>
    <rPh sb="0" eb="1">
      <t>オサム</t>
    </rPh>
    <rPh sb="2" eb="3">
      <t>ヅケ</t>
    </rPh>
    <phoneticPr fontId="2"/>
  </si>
  <si>
    <t>①</t>
    <phoneticPr fontId="2"/>
  </si>
  <si>
    <t>②</t>
    <phoneticPr fontId="2"/>
  </si>
  <si>
    <t>この申告により納入すべき産業廃棄物税額（①×1,000円／ﾄﾝ）</t>
    <rPh sb="2" eb="4">
      <t>シンコク</t>
    </rPh>
    <rPh sb="7" eb="9">
      <t>ノウニュウ</t>
    </rPh>
    <rPh sb="12" eb="14">
      <t>サンギョウ</t>
    </rPh>
    <rPh sb="14" eb="17">
      <t>ハイキブツ</t>
    </rPh>
    <rPh sb="17" eb="19">
      <t>ゼイガク</t>
    </rPh>
    <rPh sb="27" eb="28">
      <t>エン</t>
    </rPh>
    <phoneticPr fontId="2"/>
  </si>
  <si>
    <t>この申告により納付すべき産業廃棄物税額（②×1,000円／ﾄﾝ）</t>
    <rPh sb="2" eb="4">
      <t>シンコク</t>
    </rPh>
    <rPh sb="7" eb="9">
      <t>ノウフ</t>
    </rPh>
    <rPh sb="12" eb="14">
      <t>サンギョウ</t>
    </rPh>
    <rPh sb="14" eb="17">
      <t>ハイキブツ</t>
    </rPh>
    <rPh sb="17" eb="19">
      <t>ゼイガク</t>
    </rPh>
    <rPh sb="27" eb="28">
      <t>エン</t>
    </rPh>
    <phoneticPr fontId="2"/>
  </si>
  <si>
    <t>申告期限</t>
    <rPh sb="0" eb="2">
      <t>シンコク</t>
    </rPh>
    <rPh sb="2" eb="4">
      <t>キゲン</t>
    </rPh>
    <phoneticPr fontId="2"/>
  </si>
  <si>
    <t>特別徴収義務者</t>
    <rPh sb="0" eb="2">
      <t>トクベツ</t>
    </rPh>
    <rPh sb="2" eb="4">
      <t>チョウシュウ</t>
    </rPh>
    <rPh sb="4" eb="6">
      <t>ギム</t>
    </rPh>
    <rPh sb="6" eb="7">
      <t>シャ</t>
    </rPh>
    <phoneticPr fontId="2"/>
  </si>
  <si>
    <t>又は納税者</t>
    <rPh sb="0" eb="1">
      <t>マタ</t>
    </rPh>
    <rPh sb="2" eb="5">
      <t>ノウゼイシャ</t>
    </rPh>
    <phoneticPr fontId="2"/>
  </si>
  <si>
    <t>　２））を添付してください。</t>
    <phoneticPr fontId="2"/>
  </si>
  <si>
    <t>３　※印の欄には、記入しないでください。</t>
    <rPh sb="3" eb="4">
      <t>シルシ</t>
    </rPh>
    <rPh sb="5" eb="6">
      <t>ラン</t>
    </rPh>
    <rPh sb="9" eb="11">
      <t>キニュウ</t>
    </rPh>
    <phoneticPr fontId="2"/>
  </si>
  <si>
    <t>産業廃棄物税</t>
    <rPh sb="0" eb="1">
      <t>サン</t>
    </rPh>
    <rPh sb="1" eb="2">
      <t>ギョウ</t>
    </rPh>
    <rPh sb="2" eb="3">
      <t>ハイ</t>
    </rPh>
    <rPh sb="3" eb="4">
      <t>ス</t>
    </rPh>
    <rPh sb="4" eb="5">
      <t>モノ</t>
    </rPh>
    <rPh sb="5" eb="6">
      <t>ゼイ</t>
    </rPh>
    <phoneticPr fontId="2"/>
  </si>
  <si>
    <t>申告書</t>
    <rPh sb="0" eb="1">
      <t>サル</t>
    </rPh>
    <rPh sb="1" eb="2">
      <t>コク</t>
    </rPh>
    <rPh sb="2" eb="3">
      <t>ショ</t>
    </rPh>
    <phoneticPr fontId="2"/>
  </si>
  <si>
    <t>特別徴収に係る産業廃棄物の搬入重量</t>
    <rPh sb="0" eb="2">
      <t>トクベツ</t>
    </rPh>
    <rPh sb="2" eb="4">
      <t>チョウシュウ</t>
    </rPh>
    <rPh sb="5" eb="6">
      <t>カカ</t>
    </rPh>
    <rPh sb="7" eb="9">
      <t>サンギョウ</t>
    </rPh>
    <rPh sb="9" eb="12">
      <t>ハイキブツ</t>
    </rPh>
    <rPh sb="13" eb="15">
      <t>ハンニュウ</t>
    </rPh>
    <rPh sb="15" eb="17">
      <t>ジュウリョウ</t>
    </rPh>
    <phoneticPr fontId="2"/>
  </si>
  <si>
    <t>申告納付に係る産業廃棄物の搬入重量</t>
    <rPh sb="0" eb="2">
      <t>シンコク</t>
    </rPh>
    <rPh sb="2" eb="4">
      <t>ノウフ</t>
    </rPh>
    <rPh sb="5" eb="6">
      <t>カカ</t>
    </rPh>
    <rPh sb="7" eb="9">
      <t>サンギョウ</t>
    </rPh>
    <rPh sb="9" eb="12">
      <t>ハイキブツ</t>
    </rPh>
    <rPh sb="13" eb="15">
      <t>ハンニュウ</t>
    </rPh>
    <rPh sb="15" eb="17">
      <t>ジュウリョウ</t>
    </rPh>
    <phoneticPr fontId="2"/>
  </si>
  <si>
    <t>　熊本県産業廃棄物税条例</t>
    <rPh sb="1" eb="4">
      <t>クマモトケン</t>
    </rPh>
    <phoneticPr fontId="2"/>
  </si>
  <si>
    <t>第１４条第１項</t>
    <rPh sb="0" eb="1">
      <t>ダイ</t>
    </rPh>
    <rPh sb="3" eb="4">
      <t>ジョウ</t>
    </rPh>
    <rPh sb="4" eb="5">
      <t>ダイ</t>
    </rPh>
    <rPh sb="6" eb="7">
      <t>コウ</t>
    </rPh>
    <phoneticPr fontId="2"/>
  </si>
  <si>
    <t>第１１条第１項(第２項)</t>
    <rPh sb="0" eb="1">
      <t>ダイ</t>
    </rPh>
    <rPh sb="3" eb="4">
      <t>ジョウ</t>
    </rPh>
    <rPh sb="4" eb="5">
      <t>ダイ</t>
    </rPh>
    <rPh sb="6" eb="7">
      <t>コウ</t>
    </rPh>
    <rPh sb="8" eb="9">
      <t>ダイ</t>
    </rPh>
    <rPh sb="10" eb="11">
      <t>コウ</t>
    </rPh>
    <phoneticPr fontId="2"/>
  </si>
  <si>
    <t>担当部課名</t>
    <rPh sb="0" eb="2">
      <t>タントウ</t>
    </rPh>
    <rPh sb="2" eb="4">
      <t>ブカ</t>
    </rPh>
    <rPh sb="4" eb="5">
      <t>メイ</t>
    </rPh>
    <phoneticPr fontId="2"/>
  </si>
  <si>
    <t>申告区分</t>
    <rPh sb="0" eb="2">
      <t>シンコク</t>
    </rPh>
    <rPh sb="2" eb="4">
      <t>クブン</t>
    </rPh>
    <phoneticPr fontId="2"/>
  </si>
  <si>
    <t>　　　納入申告　　・　　納付申告</t>
    <rPh sb="3" eb="5">
      <t>ノウニュウ</t>
    </rPh>
    <rPh sb="5" eb="7">
      <t>シンコク</t>
    </rPh>
    <rPh sb="12" eb="14">
      <t>ノウフ</t>
    </rPh>
    <rPh sb="14" eb="16">
      <t>シンコク</t>
    </rPh>
    <phoneticPr fontId="2"/>
  </si>
  <si>
    <t>２　附表１（課税標準に関する明細書（その１））及び附表２（課税標準に関する明細書（その</t>
    <rPh sb="2" eb="4">
      <t>フヒョウ</t>
    </rPh>
    <rPh sb="6" eb="8">
      <t>カゼイ</t>
    </rPh>
    <rPh sb="8" eb="10">
      <t>ヒョウジュン</t>
    </rPh>
    <rPh sb="11" eb="12">
      <t>カン</t>
    </rPh>
    <rPh sb="14" eb="17">
      <t>メイサイショ</t>
    </rPh>
    <rPh sb="23" eb="24">
      <t>オヨ</t>
    </rPh>
    <rPh sb="25" eb="27">
      <t>フヒョウ</t>
    </rPh>
    <rPh sb="29" eb="31">
      <t>カゼイ</t>
    </rPh>
    <rPh sb="31" eb="33">
      <t>ヒョウジュン</t>
    </rPh>
    <rPh sb="34" eb="35">
      <t>カン</t>
    </rPh>
    <rPh sb="37" eb="40">
      <t>メイサイショ</t>
    </rPh>
    <phoneticPr fontId="2"/>
  </si>
  <si>
    <t>１　「申告区分」欄は、該当する項目に○をつけてください。</t>
    <rPh sb="3" eb="5">
      <t>シンコク</t>
    </rPh>
    <rPh sb="5" eb="7">
      <t>クブン</t>
    </rPh>
    <rPh sb="8" eb="9">
      <t>ラン</t>
    </rPh>
    <rPh sb="11" eb="13">
      <t>ガイトウ</t>
    </rPh>
    <rPh sb="15" eb="17">
      <t>コウモク</t>
    </rPh>
    <phoneticPr fontId="2"/>
  </si>
  <si>
    <t>年</t>
    <phoneticPr fontId="2"/>
  </si>
  <si>
    <t>月分から</t>
    <phoneticPr fontId="2"/>
  </si>
  <si>
    <t>以下のデータが各申告書等へ連動します。</t>
    <rPh sb="0" eb="2">
      <t>イカ</t>
    </rPh>
    <rPh sb="7" eb="8">
      <t>カク</t>
    </rPh>
    <rPh sb="8" eb="11">
      <t>シンコクショ</t>
    </rPh>
    <rPh sb="11" eb="12">
      <t>トウ</t>
    </rPh>
    <rPh sb="13" eb="15">
      <t>レンドウ</t>
    </rPh>
    <phoneticPr fontId="2"/>
  </si>
  <si>
    <t>所管振興局名</t>
    <rPh sb="0" eb="2">
      <t>ショカン</t>
    </rPh>
    <rPh sb="2" eb="4">
      <t>シンコウ</t>
    </rPh>
    <rPh sb="4" eb="5">
      <t>キョク</t>
    </rPh>
    <rPh sb="5" eb="6">
      <t>メイ</t>
    </rPh>
    <phoneticPr fontId="2"/>
  </si>
  <si>
    <t>熊本県納番</t>
    <rPh sb="0" eb="3">
      <t>クマモトケン</t>
    </rPh>
    <rPh sb="3" eb="4">
      <t>ノウ</t>
    </rPh>
    <rPh sb="4" eb="5">
      <t>バン</t>
    </rPh>
    <phoneticPr fontId="2"/>
  </si>
  <si>
    <t>する</t>
    <phoneticPr fontId="2"/>
  </si>
  <si>
    <t>しない</t>
    <phoneticPr fontId="2"/>
  </si>
  <si>
    <t>申告期限算定表</t>
    <rPh sb="0" eb="2">
      <t>シンコク</t>
    </rPh>
    <rPh sb="2" eb="4">
      <t>キゲン</t>
    </rPh>
    <rPh sb="4" eb="6">
      <t>サンテイ</t>
    </rPh>
    <rPh sb="6" eb="7">
      <t>ヒョウ</t>
    </rPh>
    <phoneticPr fontId="2"/>
  </si>
  <si>
    <t>基準期間</t>
    <rPh sb="0" eb="2">
      <t>キジュン</t>
    </rPh>
    <rPh sb="2" eb="4">
      <t>キカン</t>
    </rPh>
    <phoneticPr fontId="2"/>
  </si>
  <si>
    <t>実績月</t>
    <rPh sb="0" eb="2">
      <t>ジッセキ</t>
    </rPh>
    <rPh sb="2" eb="3">
      <t>ツキ</t>
    </rPh>
    <phoneticPr fontId="2"/>
  </si>
  <si>
    <t>通常の期限</t>
    <rPh sb="0" eb="2">
      <t>ツウジョウ</t>
    </rPh>
    <rPh sb="3" eb="5">
      <t>キゲン</t>
    </rPh>
    <phoneticPr fontId="2"/>
  </si>
  <si>
    <t>日付合成</t>
    <rPh sb="0" eb="2">
      <t>ヒヅケ</t>
    </rPh>
    <rPh sb="2" eb="4">
      <t>ゴウセイ</t>
    </rPh>
    <phoneticPr fontId="2"/>
  </si>
  <si>
    <t>曜日判定</t>
    <rPh sb="0" eb="2">
      <t>ヨウビ</t>
    </rPh>
    <rPh sb="2" eb="4">
      <t>ハンテイ</t>
    </rPh>
    <phoneticPr fontId="2"/>
  </si>
  <si>
    <t>m"月"d"日"</t>
    <phoneticPr fontId="2"/>
  </si>
  <si>
    <t>e"年"m"月"d"日"</t>
    <rPh sb="2" eb="3">
      <t>ネン</t>
    </rPh>
    <phoneticPr fontId="2"/>
  </si>
  <si>
    <t>名称
（処分場種類）</t>
    <rPh sb="0" eb="2">
      <t>メイショウ</t>
    </rPh>
    <rPh sb="4" eb="7">
      <t>ショブンジョウ</t>
    </rPh>
    <rPh sb="7" eb="9">
      <t>シュルイ</t>
    </rPh>
    <phoneticPr fontId="2"/>
  </si>
  <si>
    <t>（管理型）</t>
    <rPh sb="1" eb="3">
      <t>カンリ</t>
    </rPh>
    <rPh sb="3" eb="4">
      <t>カタ</t>
    </rPh>
    <phoneticPr fontId="2"/>
  </si>
  <si>
    <t>（安定型）</t>
    <rPh sb="1" eb="3">
      <t>アンテイ</t>
    </rPh>
    <rPh sb="3" eb="4">
      <t>カタ</t>
    </rPh>
    <phoneticPr fontId="2"/>
  </si>
  <si>
    <t>特別徴収義務者(納税者)名</t>
    <rPh sb="0" eb="2">
      <t>トクベツ</t>
    </rPh>
    <rPh sb="2" eb="4">
      <t>チョウシュウ</t>
    </rPh>
    <rPh sb="4" eb="6">
      <t>ギム</t>
    </rPh>
    <rPh sb="6" eb="7">
      <t>シャ</t>
    </rPh>
    <rPh sb="8" eb="11">
      <t>ノウゼイシャ</t>
    </rPh>
    <rPh sb="12" eb="13">
      <t>メイ</t>
    </rPh>
    <phoneticPr fontId="2"/>
  </si>
  <si>
    <t>　　　課税標準に関する明細書（その１）</t>
    <rPh sb="3" eb="5">
      <t>カゼイ</t>
    </rPh>
    <rPh sb="5" eb="7">
      <t>ヒョウジュン</t>
    </rPh>
    <rPh sb="8" eb="9">
      <t>カン</t>
    </rPh>
    <rPh sb="11" eb="14">
      <t>メイサイショ</t>
    </rPh>
    <phoneticPr fontId="2"/>
  </si>
  <si>
    <t>区　分</t>
    <rPh sb="0" eb="1">
      <t>ク</t>
    </rPh>
    <rPh sb="2" eb="3">
      <t>ブン</t>
    </rPh>
    <phoneticPr fontId="2"/>
  </si>
  <si>
    <t>委託処理</t>
    <rPh sb="0" eb="2">
      <t>イタク</t>
    </rPh>
    <rPh sb="2" eb="4">
      <t>ショリ</t>
    </rPh>
    <phoneticPr fontId="2"/>
  </si>
  <si>
    <t>自己処理</t>
    <rPh sb="0" eb="2">
      <t>ジコ</t>
    </rPh>
    <rPh sb="2" eb="4">
      <t>ショリ</t>
    </rPh>
    <phoneticPr fontId="2"/>
  </si>
  <si>
    <t>合計重量</t>
    <rPh sb="0" eb="2">
      <t>ゴウケイ</t>
    </rPh>
    <rPh sb="2" eb="4">
      <t>ジュウリョウ</t>
    </rPh>
    <phoneticPr fontId="2"/>
  </si>
  <si>
    <t>に係る搬入重量</t>
    <rPh sb="1" eb="2">
      <t>カカ</t>
    </rPh>
    <rPh sb="3" eb="5">
      <t>ハンニュウ</t>
    </rPh>
    <rPh sb="5" eb="7">
      <t>ジュウリョウ</t>
    </rPh>
    <phoneticPr fontId="2"/>
  </si>
  <si>
    <t>課 税 標 準 と な る 搬 入</t>
    <rPh sb="0" eb="1">
      <t>カ</t>
    </rPh>
    <rPh sb="2" eb="3">
      <t>ゼイ</t>
    </rPh>
    <rPh sb="4" eb="5">
      <t>シルベ</t>
    </rPh>
    <rPh sb="6" eb="7">
      <t>ジュン</t>
    </rPh>
    <rPh sb="14" eb="15">
      <t>ハコ</t>
    </rPh>
    <rPh sb="16" eb="17">
      <t>イ</t>
    </rPh>
    <phoneticPr fontId="2"/>
  </si>
  <si>
    <t>合　計</t>
    <rPh sb="0" eb="1">
      <t>ゴウ</t>
    </rPh>
    <rPh sb="2" eb="3">
      <t>ケイ</t>
    </rPh>
    <phoneticPr fontId="2"/>
  </si>
  <si>
    <t>備　考</t>
    <rPh sb="0" eb="1">
      <t>ビ</t>
    </rPh>
    <rPh sb="2" eb="3">
      <t>コウ</t>
    </rPh>
    <phoneticPr fontId="2"/>
  </si>
  <si>
    <t>(ア)</t>
    <phoneticPr fontId="2"/>
  </si>
  <si>
    <t>(イ)</t>
    <phoneticPr fontId="2"/>
  </si>
  <si>
    <t>(ア)＋(イ)</t>
    <phoneticPr fontId="2"/>
  </si>
  <si>
    <t>申告月計算</t>
    <rPh sb="0" eb="2">
      <t>シンコク</t>
    </rPh>
    <rPh sb="2" eb="3">
      <t>ツキ</t>
    </rPh>
    <rPh sb="3" eb="5">
      <t>ケイサン</t>
    </rPh>
    <phoneticPr fontId="2"/>
  </si>
  <si>
    <t>ggge"年"m"月分"</t>
    <rPh sb="10" eb="11">
      <t>ブン</t>
    </rPh>
    <phoneticPr fontId="2"/>
  </si>
  <si>
    <t>m"月分"</t>
    <rPh sb="3" eb="4">
      <t>ブン</t>
    </rPh>
    <phoneticPr fontId="2"/>
  </si>
  <si>
    <t xml:space="preserve">課税標準に関する明細書(その２） </t>
    <rPh sb="0" eb="2">
      <t>カゼイ</t>
    </rPh>
    <rPh sb="2" eb="4">
      <t>ヒョウジュン</t>
    </rPh>
    <rPh sb="5" eb="6">
      <t>カン</t>
    </rPh>
    <rPh sb="8" eb="9">
      <t>メイ</t>
    </rPh>
    <rPh sb="9" eb="10">
      <t>ホソ</t>
    </rPh>
    <rPh sb="10" eb="11">
      <t>ショ</t>
    </rPh>
    <phoneticPr fontId="2"/>
  </si>
  <si>
    <t>処理区分</t>
    <rPh sb="0" eb="2">
      <t>ショリ</t>
    </rPh>
    <rPh sb="2" eb="4">
      <t>クブン</t>
    </rPh>
    <phoneticPr fontId="2"/>
  </si>
  <si>
    <t>委託処理　・　自己処理</t>
    <rPh sb="0" eb="2">
      <t>イタク</t>
    </rPh>
    <rPh sb="2" eb="4">
      <t>ショリ</t>
    </rPh>
    <rPh sb="7" eb="9">
      <t>ジコ</t>
    </rPh>
    <rPh sb="9" eb="11">
      <t>ショリ</t>
    </rPh>
    <phoneticPr fontId="2"/>
  </si>
  <si>
    <t>産業廃棄物の種類</t>
    <rPh sb="0" eb="2">
      <t>サンギョウ</t>
    </rPh>
    <rPh sb="2" eb="5">
      <t>ハイキブツ</t>
    </rPh>
    <rPh sb="6" eb="8">
      <t>シュルイ</t>
    </rPh>
    <phoneticPr fontId="2"/>
  </si>
  <si>
    <t>搬入重量（トン）</t>
    <rPh sb="0" eb="2">
      <t>ハンニュウ</t>
    </rPh>
    <rPh sb="2" eb="4">
      <t>ジュウリョウ</t>
    </rPh>
    <phoneticPr fontId="2"/>
  </si>
  <si>
    <t>重量の測定が困難な場合</t>
    <rPh sb="0" eb="2">
      <t>ジュウリョウ</t>
    </rPh>
    <rPh sb="3" eb="5">
      <t>ソクテイ</t>
    </rPh>
    <rPh sb="6" eb="8">
      <t>コンナン</t>
    </rPh>
    <rPh sb="9" eb="11">
      <t>バアイ</t>
    </rPh>
    <phoneticPr fontId="2"/>
  </si>
  <si>
    <t>合計（トン）</t>
    <rPh sb="0" eb="2">
      <t>ゴウケイ</t>
    </rPh>
    <phoneticPr fontId="2"/>
  </si>
  <si>
    <t>体積（）</t>
    <rPh sb="0" eb="2">
      <t>タイセキ</t>
    </rPh>
    <phoneticPr fontId="2"/>
  </si>
  <si>
    <t>換算係数</t>
    <rPh sb="0" eb="2">
      <t>カンサン</t>
    </rPh>
    <rPh sb="2" eb="4">
      <t>ケイスウ</t>
    </rPh>
    <phoneticPr fontId="2"/>
  </si>
  <si>
    <t>換算重量（トン）</t>
    <rPh sb="0" eb="2">
      <t>カンサン</t>
    </rPh>
    <rPh sb="2" eb="4">
      <t>ジュウリョウ</t>
    </rPh>
    <phoneticPr fontId="2"/>
  </si>
  <si>
    <t>燃え殻</t>
    <rPh sb="0" eb="1">
      <t>モ</t>
    </rPh>
    <rPh sb="2" eb="3">
      <t>カラ</t>
    </rPh>
    <phoneticPr fontId="2"/>
  </si>
  <si>
    <t>汚泥</t>
    <rPh sb="0" eb="2">
      <t>オデイ</t>
    </rPh>
    <phoneticPr fontId="2"/>
  </si>
  <si>
    <t>廃油</t>
    <rPh sb="0" eb="2">
      <t>ハイユ</t>
    </rPh>
    <phoneticPr fontId="2"/>
  </si>
  <si>
    <t>廃プラスチック類</t>
    <rPh sb="0" eb="1">
      <t>ハイ</t>
    </rPh>
    <rPh sb="7" eb="8">
      <t>ルイ</t>
    </rPh>
    <phoneticPr fontId="2"/>
  </si>
  <si>
    <t>紙くず</t>
    <rPh sb="0" eb="1">
      <t>カミ</t>
    </rPh>
    <phoneticPr fontId="2"/>
  </si>
  <si>
    <t>木くず</t>
    <rPh sb="0" eb="1">
      <t>キ</t>
    </rPh>
    <phoneticPr fontId="2"/>
  </si>
  <si>
    <t>繊維くず</t>
    <rPh sb="0" eb="2">
      <t>センイ</t>
    </rPh>
    <phoneticPr fontId="2"/>
  </si>
  <si>
    <t>動物又は植物に係る     固形状の不要物</t>
    <rPh sb="0" eb="2">
      <t>ドウブツ</t>
    </rPh>
    <rPh sb="2" eb="3">
      <t>マタ</t>
    </rPh>
    <rPh sb="4" eb="6">
      <t>ショクブツ</t>
    </rPh>
    <rPh sb="7" eb="8">
      <t>カカ</t>
    </rPh>
    <rPh sb="14" eb="17">
      <t>コケイジョウ</t>
    </rPh>
    <rPh sb="18" eb="20">
      <t>フヨウ</t>
    </rPh>
    <rPh sb="20" eb="21">
      <t>ブツ</t>
    </rPh>
    <phoneticPr fontId="2"/>
  </si>
  <si>
    <t>獣畜及び食鳥に係る　　　　固形状の不要物</t>
    <rPh sb="0" eb="1">
      <t>ジュウ</t>
    </rPh>
    <rPh sb="1" eb="2">
      <t>チク</t>
    </rPh>
    <rPh sb="2" eb="3">
      <t>オヨ</t>
    </rPh>
    <rPh sb="4" eb="5">
      <t>ショク</t>
    </rPh>
    <rPh sb="5" eb="6">
      <t>チョウ</t>
    </rPh>
    <rPh sb="7" eb="8">
      <t>カカ</t>
    </rPh>
    <rPh sb="13" eb="16">
      <t>コケイジョウ</t>
    </rPh>
    <rPh sb="17" eb="20">
      <t>フヨウブツ</t>
    </rPh>
    <phoneticPr fontId="2"/>
  </si>
  <si>
    <t>金属くず</t>
    <rPh sb="0" eb="2">
      <t>キンゾク</t>
    </rPh>
    <phoneticPr fontId="2"/>
  </si>
  <si>
    <t>ガラスくず、コンクリートくず及び陶磁器くず</t>
    <rPh sb="14" eb="15">
      <t>オヨ</t>
    </rPh>
    <rPh sb="16" eb="19">
      <t>トウジキ</t>
    </rPh>
    <phoneticPr fontId="2"/>
  </si>
  <si>
    <t>鉱さい</t>
    <rPh sb="0" eb="1">
      <t>コウ</t>
    </rPh>
    <phoneticPr fontId="2"/>
  </si>
  <si>
    <t>コンクリートの破片その他これに類する不要物</t>
    <rPh sb="7" eb="9">
      <t>ハヘン</t>
    </rPh>
    <rPh sb="11" eb="12">
      <t>タ</t>
    </rPh>
    <rPh sb="15" eb="16">
      <t>ルイ</t>
    </rPh>
    <rPh sb="18" eb="20">
      <t>フヨウ</t>
    </rPh>
    <rPh sb="20" eb="21">
      <t>ブツ</t>
    </rPh>
    <phoneticPr fontId="2"/>
  </si>
  <si>
    <t>動物のふん尿</t>
    <rPh sb="0" eb="2">
      <t>ドウブツ</t>
    </rPh>
    <rPh sb="5" eb="6">
      <t>ニョウ</t>
    </rPh>
    <phoneticPr fontId="2"/>
  </si>
  <si>
    <t>動物の死体</t>
    <rPh sb="0" eb="2">
      <t>ドウブツ</t>
    </rPh>
    <rPh sb="3" eb="5">
      <t>シタイ</t>
    </rPh>
    <phoneticPr fontId="2"/>
  </si>
  <si>
    <t>廃棄物の処理及び清掃　　　　　に関する法律施行令　　　　　　　第2条第13号に掲げる　　　　　産業廃棄物</t>
    <rPh sb="0" eb="3">
      <t>ハイキブツ</t>
    </rPh>
    <rPh sb="4" eb="6">
      <t>ショリ</t>
    </rPh>
    <rPh sb="6" eb="7">
      <t>オヨ</t>
    </rPh>
    <rPh sb="8" eb="10">
      <t>セイソウ</t>
    </rPh>
    <rPh sb="16" eb="17">
      <t>カン</t>
    </rPh>
    <rPh sb="19" eb="21">
      <t>ホウリツ</t>
    </rPh>
    <rPh sb="21" eb="24">
      <t>セコウレイ</t>
    </rPh>
    <rPh sb="31" eb="32">
      <t>ダイ</t>
    </rPh>
    <rPh sb="33" eb="34">
      <t>ジョウ</t>
    </rPh>
    <rPh sb="34" eb="35">
      <t>ダイ</t>
    </rPh>
    <rPh sb="37" eb="38">
      <t>ゴウ</t>
    </rPh>
    <rPh sb="39" eb="40">
      <t>カカ</t>
    </rPh>
    <rPh sb="47" eb="49">
      <t>サンギョウ</t>
    </rPh>
    <rPh sb="49" eb="52">
      <t>ハイキブツ</t>
    </rPh>
    <phoneticPr fontId="2"/>
  </si>
  <si>
    <t>合　　　計</t>
    <rPh sb="0" eb="1">
      <t>ゴウ</t>
    </rPh>
    <rPh sb="4" eb="5">
      <t>ケイ</t>
    </rPh>
    <phoneticPr fontId="2"/>
  </si>
  <si>
    <t>（注）</t>
    <rPh sb="1" eb="2">
      <t>チュウ</t>
    </rPh>
    <phoneticPr fontId="2"/>
  </si>
  <si>
    <t>２　「処理区分」欄は、該当する項目に○をつけてください。</t>
    <rPh sb="3" eb="5">
      <t>ショリ</t>
    </rPh>
    <rPh sb="5" eb="7">
      <t>クブン</t>
    </rPh>
    <rPh sb="8" eb="9">
      <t>ラン</t>
    </rPh>
    <rPh sb="11" eb="13">
      <t>ガイトウ</t>
    </rPh>
    <rPh sb="15" eb="17">
      <t>コウモク</t>
    </rPh>
    <phoneticPr fontId="2"/>
  </si>
  <si>
    <t>(Ａ)</t>
    <phoneticPr fontId="2"/>
  </si>
  <si>
    <t>(Ｂ)</t>
    <phoneticPr fontId="2"/>
  </si>
  <si>
    <t>(A)×(B)=(イ)</t>
    <phoneticPr fontId="2"/>
  </si>
  <si>
    <t>(ア)+(イ)</t>
    <phoneticPr fontId="2"/>
  </si>
  <si>
    <t>ゴムくず</t>
    <phoneticPr fontId="2"/>
  </si>
  <si>
    <t>ばいじん</t>
    <phoneticPr fontId="2"/>
  </si>
  <si>
    <t>１　この明細書は、月ごと及び処理区分ごとに作成してください。</t>
    <phoneticPr fontId="2"/>
  </si>
  <si>
    <t>枝番号</t>
    <rPh sb="0" eb="1">
      <t>エダ</t>
    </rPh>
    <rPh sb="1" eb="3">
      <t>バンゴウ</t>
    </rPh>
    <phoneticPr fontId="2"/>
  </si>
  <si>
    <t>熊本県産業廃棄物税申告書作成支援シート</t>
    <rPh sb="0" eb="3">
      <t>クマモトケン</t>
    </rPh>
    <rPh sb="3" eb="5">
      <t>サンギョウ</t>
    </rPh>
    <rPh sb="5" eb="8">
      <t>ハイキブツ</t>
    </rPh>
    <rPh sb="8" eb="9">
      <t>ゼイ</t>
    </rPh>
    <rPh sb="9" eb="12">
      <t>シンコクショ</t>
    </rPh>
    <rPh sb="12" eb="14">
      <t>サクセイ</t>
    </rPh>
    <rPh sb="14" eb="16">
      <t>シエン</t>
    </rPh>
    <phoneticPr fontId="2"/>
  </si>
  <si>
    <t>元号</t>
    <rPh sb="0" eb="2">
      <t>ゲンゴウ</t>
    </rPh>
    <phoneticPr fontId="2"/>
  </si>
  <si>
    <t>今日</t>
    <rPh sb="0" eb="2">
      <t>キョウ</t>
    </rPh>
    <phoneticPr fontId="2"/>
  </si>
  <si>
    <t>和暦作成</t>
    <rPh sb="0" eb="2">
      <t>ワレキ</t>
    </rPh>
    <rPh sb="2" eb="4">
      <t>サクセイ</t>
    </rPh>
    <phoneticPr fontId="2"/>
  </si>
  <si>
    <t>元年の前年の西暦→</t>
    <rPh sb="0" eb="2">
      <t>ガンネン</t>
    </rPh>
    <rPh sb="3" eb="5">
      <t>ゼンネン</t>
    </rPh>
    <rPh sb="6" eb="8">
      <t>セイレキ</t>
    </rPh>
    <phoneticPr fontId="2"/>
  </si>
  <si>
    <t>申告期限和暦合成</t>
    <rPh sb="0" eb="2">
      <t>シンコク</t>
    </rPh>
    <rPh sb="2" eb="4">
      <t>キゲン</t>
    </rPh>
    <rPh sb="4" eb="6">
      <t>ワレキ</t>
    </rPh>
    <rPh sb="6" eb="8">
      <t>ゴウセイ</t>
    </rPh>
    <phoneticPr fontId="2"/>
  </si>
  <si>
    <t>(aaa)</t>
    <phoneticPr fontId="2"/>
  </si>
  <si>
    <t>県央広域本部</t>
    <rPh sb="0" eb="2">
      <t>ケンオウ</t>
    </rPh>
    <rPh sb="2" eb="4">
      <t>コウイキ</t>
    </rPh>
    <rPh sb="4" eb="6">
      <t>ホンブ</t>
    </rPh>
    <phoneticPr fontId="2"/>
  </si>
  <si>
    <t>個人番号又は
法人番号
（右詰で記載）</t>
    <rPh sb="0" eb="2">
      <t>コジン</t>
    </rPh>
    <rPh sb="2" eb="4">
      <t>バンゴウ</t>
    </rPh>
    <rPh sb="4" eb="5">
      <t>マタ</t>
    </rPh>
    <rPh sb="7" eb="9">
      <t>ホウジン</t>
    </rPh>
    <rPh sb="9" eb="11">
      <t>バンゴウ</t>
    </rPh>
    <rPh sb="13" eb="14">
      <t>ミギ</t>
    </rPh>
    <rPh sb="14" eb="15">
      <t>ツ</t>
    </rPh>
    <rPh sb="16" eb="18">
      <t>キサイ</t>
    </rPh>
    <phoneticPr fontId="2"/>
  </si>
  <si>
    <t>の規定により、次のとおり申告します。</t>
    <rPh sb="1" eb="3">
      <t>キテイ</t>
    </rPh>
    <rPh sb="7" eb="8">
      <t>ツギ</t>
    </rPh>
    <rPh sb="12" eb="14">
      <t>シンコク</t>
    </rPh>
    <phoneticPr fontId="2"/>
  </si>
  <si>
    <t>◆</t>
    <phoneticPr fontId="2"/>
  </si>
  <si>
    <t>熊本市北区楠野町１０４６－２</t>
    <rPh sb="0" eb="3">
      <t>クマモトシ</t>
    </rPh>
    <rPh sb="3" eb="5">
      <t>キタク</t>
    </rPh>
    <rPh sb="5" eb="6">
      <t>クス</t>
    </rPh>
    <rPh sb="6" eb="7">
      <t>ノ</t>
    </rPh>
    <rPh sb="7" eb="8">
      <t>マチ</t>
    </rPh>
    <phoneticPr fontId="2"/>
  </si>
  <si>
    <t>有限会社　オー・エス収集センター</t>
    <rPh sb="0" eb="4">
      <t>ユウゲンガイシャ</t>
    </rPh>
    <rPh sb="10" eb="12">
      <t>シュウシュウ</t>
    </rPh>
    <phoneticPr fontId="2"/>
  </si>
  <si>
    <t>代表取締役　野原　雅浩</t>
    <rPh sb="0" eb="2">
      <t>ダイヒョウ</t>
    </rPh>
    <rPh sb="2" eb="5">
      <t>トリシマリヤク</t>
    </rPh>
    <rPh sb="6" eb="8">
      <t>ノハラ</t>
    </rPh>
    <rPh sb="9" eb="11">
      <t>マサヒロ</t>
    </rPh>
    <phoneticPr fontId="2"/>
  </si>
  <si>
    <t>（電話　０９６ - ２４５ - ０１１０　）</t>
    <rPh sb="1" eb="3">
      <t>デンワ</t>
    </rPh>
    <phoneticPr fontId="2"/>
  </si>
  <si>
    <t>熊本市北区明徳町字上市迫1番地外</t>
    <rPh sb="0" eb="3">
      <t>クマモトシ</t>
    </rPh>
    <rPh sb="3" eb="5">
      <t>キタク</t>
    </rPh>
    <rPh sb="5" eb="8">
      <t>メイトクマチ</t>
    </rPh>
    <rPh sb="8" eb="9">
      <t>アザ</t>
    </rPh>
    <rPh sb="9" eb="10">
      <t>ウエ</t>
    </rPh>
    <rPh sb="10" eb="11">
      <t>シ</t>
    </rPh>
    <rPh sb="11" eb="12">
      <t>サコ</t>
    </rPh>
    <rPh sb="13" eb="15">
      <t>バンチ</t>
    </rPh>
    <rPh sb="15" eb="16">
      <t>ソト</t>
    </rPh>
    <phoneticPr fontId="2"/>
  </si>
  <si>
    <t>令和</t>
    <rPh sb="0" eb="2">
      <t>レイワ</t>
    </rPh>
    <phoneticPr fontId="2"/>
  </si>
  <si>
    <t>松田　英樹</t>
    <rPh sb="0" eb="2">
      <t>マツダ</t>
    </rPh>
    <rPh sb="3" eb="5">
      <t>ヒデキ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</si>
</sst>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[$-411]ggge&quot;年&quot;m&quot;月&quot;d&quot;日&quot;;@"/>
    <numFmt numFmtId="177" formatCode="[$-411]ggge&quot;年&quot;m&quot;月分まで&quot;"/>
    <numFmt numFmtId="178" formatCode="00"/>
    <numFmt numFmtId="179" formatCode="#&quot;月&quot;\ "/>
    <numFmt numFmtId="180" formatCode="[$-411]ge\.m\.d\(aaa\)"/>
    <numFmt numFmtId="181" formatCode="#,##0.????"/>
    <numFmt numFmtId="182" formatCode="#,##0.?????"/>
    <numFmt numFmtId="183" formatCode="#,##0.??????"/>
    <numFmt numFmtId="184" formatCode="\(\ #,##?.?????\)"/>
    <numFmt numFmtId="185" formatCode="#,##0.???"/>
    <numFmt numFmtId="186" formatCode="[DBNum3][$-411]ggge&quot;年&quot;m&quot;月&quot;d&quot;日&quot;\(aaa\)"/>
    <numFmt numFmtId="187" formatCode="0&quot;年&quot;"/>
    <numFmt numFmtId="188" formatCode="0&quot;月&quot;"/>
    <numFmt numFmtId="189" formatCode="0&quot;日&quot;"/>
    <numFmt numFmtId="190" formatCode="yyyy/m/d;@"/>
    <numFmt numFmtId="191" formatCode="yyyy\.m\.d\(aaa\)"/>
  </numFmts>
  <fonts count="5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color indexed="8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Ｐ明朝"/>
      <family val="1"/>
      <charset val="128"/>
    </font>
    <font>
      <sz val="14"/>
      <name val="ＭＳ 明朝"/>
      <family val="1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</fills>
  <borders count="8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53"/>
      </top>
      <bottom/>
      <diagonal/>
    </border>
    <border>
      <left/>
      <right/>
      <top style="double">
        <color indexed="53"/>
      </top>
      <bottom/>
      <diagonal/>
    </border>
    <border>
      <left/>
      <right style="hair">
        <color indexed="64"/>
      </right>
      <top style="double">
        <color indexed="5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double">
        <color indexed="53"/>
      </bottom>
      <diagonal/>
    </border>
    <border>
      <left/>
      <right/>
      <top/>
      <bottom style="double">
        <color indexed="53"/>
      </bottom>
      <diagonal/>
    </border>
    <border>
      <left/>
      <right style="thin">
        <color indexed="64"/>
      </right>
      <top/>
      <bottom style="double">
        <color indexed="53"/>
      </bottom>
      <diagonal/>
    </border>
    <border>
      <left/>
      <right style="hair">
        <color indexed="64"/>
      </right>
      <top/>
      <bottom style="double">
        <color indexed="53"/>
      </bottom>
      <diagonal/>
    </border>
    <border>
      <left style="hair">
        <color indexed="64"/>
      </left>
      <right/>
      <top style="double">
        <color indexed="53"/>
      </top>
      <bottom/>
      <diagonal/>
    </border>
    <border>
      <left/>
      <right style="thin">
        <color indexed="64"/>
      </right>
      <top style="double">
        <color indexed="5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53"/>
      </top>
      <bottom style="thin">
        <color indexed="64"/>
      </bottom>
      <diagonal/>
    </border>
    <border>
      <left/>
      <right/>
      <top style="double">
        <color indexed="53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53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53"/>
      </top>
      <bottom style="thin">
        <color indexed="64"/>
      </bottom>
      <diagonal/>
    </border>
    <border>
      <left style="hair">
        <color indexed="64"/>
      </left>
      <right/>
      <top style="double">
        <color indexed="53"/>
      </top>
      <bottom style="thin">
        <color indexed="64"/>
      </bottom>
      <diagonal/>
    </border>
    <border>
      <left style="hair">
        <color indexed="64"/>
      </left>
      <right/>
      <top style="double">
        <color indexed="10"/>
      </top>
      <bottom style="thin">
        <color indexed="64"/>
      </bottom>
      <diagonal/>
    </border>
    <border>
      <left/>
      <right/>
      <top style="double">
        <color indexed="10"/>
      </top>
      <bottom style="thin">
        <color indexed="64"/>
      </bottom>
      <diagonal/>
    </border>
    <border>
      <left/>
      <right style="thin">
        <color indexed="64"/>
      </right>
      <top style="double">
        <color indexed="1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double">
        <color indexed="10"/>
      </top>
      <bottom style="thin">
        <color indexed="64"/>
      </bottom>
      <diagonal/>
    </border>
    <border diagonalUp="1">
      <left style="hair">
        <color indexed="64"/>
      </left>
      <right/>
      <top style="double">
        <color indexed="53"/>
      </top>
      <bottom style="thin">
        <color indexed="64"/>
      </bottom>
      <diagonal style="hair">
        <color indexed="64"/>
      </diagonal>
    </border>
    <border diagonalUp="1">
      <left/>
      <right/>
      <top style="double">
        <color indexed="53"/>
      </top>
      <bottom style="thin">
        <color indexed="64"/>
      </bottom>
      <diagonal style="hair">
        <color indexed="64"/>
      </diagonal>
    </border>
    <border diagonalUp="1">
      <left/>
      <right style="hair">
        <color indexed="64"/>
      </right>
      <top style="double">
        <color indexed="53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3" fillId="0" borderId="0"/>
    <xf numFmtId="0" fontId="25" fillId="0" borderId="0">
      <alignment vertical="center"/>
    </xf>
    <xf numFmtId="0" fontId="26" fillId="4" borderId="0" applyNumberFormat="0" applyBorder="0" applyAlignment="0" applyProtection="0">
      <alignment vertical="center"/>
    </xf>
  </cellStyleXfs>
  <cellXfs count="630">
    <xf numFmtId="0" fontId="0" fillId="0" borderId="0" xfId="0"/>
    <xf numFmtId="0" fontId="3" fillId="0" borderId="0" xfId="0" applyFont="1"/>
    <xf numFmtId="0" fontId="3" fillId="0" borderId="10" xfId="0" applyFont="1" applyBorder="1"/>
    <xf numFmtId="0" fontId="5" fillId="0" borderId="0" xfId="0" applyFont="1"/>
    <xf numFmtId="0" fontId="4" fillId="0" borderId="0" xfId="0" applyFont="1"/>
    <xf numFmtId="0" fontId="0" fillId="0" borderId="11" xfId="0" applyBorder="1"/>
    <xf numFmtId="0" fontId="0" fillId="0" borderId="12" xfId="0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13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0" xfId="0" applyFont="1"/>
    <xf numFmtId="0" fontId="5" fillId="0" borderId="11" xfId="0" applyFont="1" applyBorder="1" applyAlignment="1">
      <alignment horizontal="distributed" vertical="center" wrapText="1"/>
    </xf>
    <xf numFmtId="0" fontId="5" fillId="0" borderId="11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vertical="top"/>
    </xf>
    <xf numFmtId="0" fontId="25" fillId="0" borderId="0" xfId="43">
      <alignment vertical="center"/>
    </xf>
    <xf numFmtId="0" fontId="27" fillId="0" borderId="0" xfId="43" applyFont="1">
      <alignment vertical="center"/>
    </xf>
    <xf numFmtId="0" fontId="25" fillId="24" borderId="0" xfId="43" applyFill="1">
      <alignment vertical="center"/>
    </xf>
    <xf numFmtId="0" fontId="25" fillId="25" borderId="0" xfId="43" applyFill="1" applyAlignment="1" applyProtection="1">
      <alignment vertical="center" shrinkToFit="1"/>
      <protection locked="0"/>
    </xf>
    <xf numFmtId="0" fontId="25" fillId="0" borderId="0" xfId="43" applyAlignment="1" applyProtection="1">
      <alignment vertical="center" shrinkToFit="1"/>
      <protection locked="0"/>
    </xf>
    <xf numFmtId="0" fontId="25" fillId="0" borderId="0" xfId="43" applyAlignment="1">
      <alignment horizontal="right" vertical="center"/>
    </xf>
    <xf numFmtId="180" fontId="25" fillId="0" borderId="0" xfId="43" applyNumberFormat="1">
      <alignment vertical="center"/>
    </xf>
    <xf numFmtId="178" fontId="25" fillId="0" borderId="0" xfId="43" applyNumberFormat="1">
      <alignment vertical="center"/>
    </xf>
    <xf numFmtId="179" fontId="25" fillId="0" borderId="0" xfId="43" applyNumberForma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textRotation="255"/>
    </xf>
    <xf numFmtId="0" fontId="30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0" fontId="5" fillId="0" borderId="0" xfId="0" applyFont="1" applyAlignment="1">
      <alignment horizontal="distributed" vertical="center"/>
    </xf>
    <xf numFmtId="0" fontId="8" fillId="0" borderId="0" xfId="0" applyFont="1" applyAlignment="1">
      <alignment horizontal="distributed" vertical="center"/>
    </xf>
    <xf numFmtId="0" fontId="30" fillId="0" borderId="0" xfId="0" applyFont="1" applyAlignment="1">
      <alignment horizontal="center" vertical="center"/>
    </xf>
    <xf numFmtId="0" fontId="7" fillId="0" borderId="0" xfId="0" applyFont="1"/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0" fillId="0" borderId="10" xfId="0" applyBorder="1"/>
    <xf numFmtId="0" fontId="3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7" fillId="0" borderId="17" xfId="0" applyFont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4" fillId="0" borderId="2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5" fillId="0" borderId="0" xfId="0" applyFont="1" applyAlignment="1">
      <alignment horizontal="distributed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textRotation="255"/>
    </xf>
    <xf numFmtId="0" fontId="4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distributed" vertical="center" wrapText="1"/>
    </xf>
    <xf numFmtId="0" fontId="0" fillId="0" borderId="16" xfId="0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8" fillId="0" borderId="26" xfId="0" applyFont="1" applyBorder="1"/>
    <xf numFmtId="0" fontId="0" fillId="0" borderId="27" xfId="0" applyBorder="1" applyAlignment="1">
      <alignment horizontal="center"/>
    </xf>
    <xf numFmtId="0" fontId="5" fillId="0" borderId="24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31" fillId="0" borderId="10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5" fillId="0" borderId="11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4" fillId="0" borderId="3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27" fillId="0" borderId="34" xfId="0" applyFont="1" applyBorder="1"/>
    <xf numFmtId="0" fontId="27" fillId="0" borderId="26" xfId="0" applyFont="1" applyBorder="1"/>
    <xf numFmtId="0" fontId="27" fillId="0" borderId="35" xfId="0" applyFont="1" applyBorder="1"/>
    <xf numFmtId="0" fontId="27" fillId="0" borderId="19" xfId="0" applyFont="1" applyBorder="1"/>
    <xf numFmtId="0" fontId="3" fillId="0" borderId="36" xfId="0" applyFont="1" applyBorder="1"/>
    <xf numFmtId="0" fontId="3" fillId="0" borderId="37" xfId="0" applyFont="1" applyBorder="1"/>
    <xf numFmtId="0" fontId="0" fillId="0" borderId="38" xfId="0" applyBorder="1"/>
    <xf numFmtId="0" fontId="3" fillId="0" borderId="22" xfId="0" applyFont="1" applyBorder="1"/>
    <xf numFmtId="0" fontId="3" fillId="0" borderId="39" xfId="0" applyFont="1" applyBorder="1"/>
    <xf numFmtId="0" fontId="32" fillId="0" borderId="40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183" fontId="27" fillId="0" borderId="14" xfId="0" applyNumberFormat="1" applyFont="1" applyBorder="1" applyAlignment="1">
      <alignment horizontal="left"/>
    </xf>
    <xf numFmtId="183" fontId="5" fillId="0" borderId="13" xfId="0" applyNumberFormat="1" applyFont="1" applyBorder="1" applyAlignment="1">
      <alignment vertical="top"/>
    </xf>
    <xf numFmtId="183" fontId="5" fillId="0" borderId="19" xfId="0" applyNumberFormat="1" applyFont="1" applyBorder="1" applyAlignment="1">
      <alignment vertical="top"/>
    </xf>
    <xf numFmtId="183" fontId="27" fillId="0" borderId="13" xfId="0" applyNumberFormat="1" applyFont="1" applyBorder="1" applyAlignment="1">
      <alignment horizontal="left"/>
    </xf>
    <xf numFmtId="183" fontId="27" fillId="0" borderId="19" xfId="0" applyNumberFormat="1" applyFont="1" applyBorder="1" applyAlignment="1">
      <alignment horizontal="left"/>
    </xf>
    <xf numFmtId="183" fontId="27" fillId="0" borderId="17" xfId="0" applyNumberFormat="1" applyFont="1" applyBorder="1" applyAlignment="1">
      <alignment horizontal="left"/>
    </xf>
    <xf numFmtId="183" fontId="27" fillId="0" borderId="11" xfId="0" applyNumberFormat="1" applyFont="1" applyBorder="1" applyAlignment="1">
      <alignment horizontal="left"/>
    </xf>
    <xf numFmtId="183" fontId="5" fillId="0" borderId="11" xfId="0" applyNumberFormat="1" applyFont="1" applyBorder="1" applyAlignment="1">
      <alignment vertical="top"/>
    </xf>
    <xf numFmtId="183" fontId="5" fillId="0" borderId="15" xfId="0" applyNumberFormat="1" applyFont="1" applyBorder="1" applyAlignment="1">
      <alignment vertical="top"/>
    </xf>
    <xf numFmtId="183" fontId="5" fillId="0" borderId="18" xfId="0" applyNumberFormat="1" applyFont="1" applyBorder="1" applyAlignment="1">
      <alignment vertical="top"/>
    </xf>
    <xf numFmtId="183" fontId="27" fillId="0" borderId="17" xfId="0" applyNumberFormat="1" applyFont="1" applyBorder="1"/>
    <xf numFmtId="183" fontId="0" fillId="0" borderId="11" xfId="0" applyNumberFormat="1" applyBorder="1"/>
    <xf numFmtId="183" fontId="0" fillId="0" borderId="18" xfId="0" applyNumberFormat="1" applyBorder="1"/>
    <xf numFmtId="183" fontId="0" fillId="0" borderId="14" xfId="0" applyNumberFormat="1" applyBorder="1"/>
    <xf numFmtId="183" fontId="0" fillId="0" borderId="13" xfId="0" applyNumberFormat="1" applyBorder="1"/>
    <xf numFmtId="183" fontId="0" fillId="0" borderId="19" xfId="0" applyNumberFormat="1" applyBorder="1"/>
    <xf numFmtId="183" fontId="4" fillId="0" borderId="13" xfId="0" applyNumberFormat="1" applyFont="1" applyBorder="1" applyAlignment="1">
      <alignment vertical="top"/>
    </xf>
    <xf numFmtId="183" fontId="4" fillId="0" borderId="14" xfId="0" applyNumberFormat="1" applyFont="1" applyBorder="1" applyAlignment="1">
      <alignment vertical="top"/>
    </xf>
    <xf numFmtId="183" fontId="27" fillId="0" borderId="14" xfId="0" applyNumberFormat="1" applyFont="1" applyBorder="1"/>
    <xf numFmtId="0" fontId="25" fillId="25" borderId="0" xfId="43" applyFill="1">
      <alignment vertical="center"/>
    </xf>
    <xf numFmtId="14" fontId="25" fillId="0" borderId="0" xfId="43" applyNumberFormat="1">
      <alignment vertical="center"/>
    </xf>
    <xf numFmtId="187" fontId="25" fillId="0" borderId="0" xfId="43" applyNumberFormat="1">
      <alignment vertical="center"/>
    </xf>
    <xf numFmtId="188" fontId="25" fillId="0" borderId="0" xfId="43" applyNumberFormat="1">
      <alignment vertical="center"/>
    </xf>
    <xf numFmtId="189" fontId="25" fillId="0" borderId="0" xfId="43" applyNumberFormat="1">
      <alignment vertical="center"/>
    </xf>
    <xf numFmtId="0" fontId="25" fillId="0" borderId="0" xfId="43" applyAlignment="1">
      <alignment vertical="center" shrinkToFit="1"/>
    </xf>
    <xf numFmtId="190" fontId="25" fillId="0" borderId="0" xfId="43" applyNumberFormat="1">
      <alignment vertical="center"/>
    </xf>
    <xf numFmtId="191" fontId="25" fillId="0" borderId="0" xfId="43" applyNumberFormat="1">
      <alignment vertical="center"/>
    </xf>
    <xf numFmtId="0" fontId="34" fillId="0" borderId="0" xfId="0" applyFont="1"/>
    <xf numFmtId="0" fontId="35" fillId="0" borderId="0" xfId="0" applyFont="1"/>
    <xf numFmtId="0" fontId="34" fillId="0" borderId="10" xfId="0" applyFont="1" applyBorder="1"/>
    <xf numFmtId="0" fontId="34" fillId="0" borderId="36" xfId="0" applyFont="1" applyBorder="1"/>
    <xf numFmtId="0" fontId="36" fillId="0" borderId="0" xfId="0" applyFont="1" applyAlignment="1">
      <alignment horizontal="center" vertical="center"/>
    </xf>
    <xf numFmtId="0" fontId="38" fillId="0" borderId="11" xfId="0" applyFont="1" applyBorder="1"/>
    <xf numFmtId="0" fontId="38" fillId="0" borderId="0" xfId="0" applyFont="1"/>
    <xf numFmtId="0" fontId="34" fillId="0" borderId="37" xfId="0" applyFont="1" applyBorder="1"/>
    <xf numFmtId="0" fontId="38" fillId="0" borderId="38" xfId="0" applyFont="1" applyBorder="1"/>
    <xf numFmtId="0" fontId="34" fillId="0" borderId="22" xfId="0" applyFont="1" applyBorder="1"/>
    <xf numFmtId="0" fontId="34" fillId="0" borderId="39" xfId="0" applyFont="1" applyBorder="1"/>
    <xf numFmtId="0" fontId="38" fillId="0" borderId="40" xfId="0" applyFont="1" applyBorder="1"/>
    <xf numFmtId="0" fontId="34" fillId="0" borderId="0" xfId="0" applyFont="1" applyAlignment="1">
      <alignment horizontal="right"/>
    </xf>
    <xf numFmtId="0" fontId="43" fillId="0" borderId="0" xfId="0" applyFont="1"/>
    <xf numFmtId="0" fontId="44" fillId="0" borderId="0" xfId="0" applyFont="1"/>
    <xf numFmtId="0" fontId="38" fillId="0" borderId="0" xfId="0" applyFont="1" applyAlignment="1">
      <alignment horizontal="right"/>
    </xf>
    <xf numFmtId="0" fontId="35" fillId="0" borderId="0" xfId="0" applyFont="1" applyAlignment="1">
      <alignment vertical="center"/>
    </xf>
    <xf numFmtId="0" fontId="45" fillId="0" borderId="0" xfId="0" applyFont="1"/>
    <xf numFmtId="0" fontId="45" fillId="0" borderId="41" xfId="0" applyFont="1" applyBorder="1"/>
    <xf numFmtId="0" fontId="45" fillId="0" borderId="42" xfId="0" applyFont="1" applyBorder="1"/>
    <xf numFmtId="0" fontId="46" fillId="0" borderId="42" xfId="0" applyFont="1" applyBorder="1" applyAlignment="1">
      <alignment vertical="top" textRotation="255"/>
    </xf>
    <xf numFmtId="0" fontId="47" fillId="0" borderId="42" xfId="0" applyFont="1" applyBorder="1"/>
    <xf numFmtId="0" fontId="47" fillId="0" borderId="42" xfId="0" applyFont="1" applyBorder="1" applyAlignment="1">
      <alignment horizontal="center"/>
    </xf>
    <xf numFmtId="0" fontId="47" fillId="0" borderId="42" xfId="0" applyFont="1" applyBorder="1" applyAlignment="1">
      <alignment horizontal="center" vertical="center" textRotation="255" wrapText="1"/>
    </xf>
    <xf numFmtId="0" fontId="45" fillId="0" borderId="42" xfId="0" applyFont="1" applyBorder="1" applyAlignment="1">
      <alignment horizontal="center" vertical="center" textRotation="255" wrapText="1"/>
    </xf>
    <xf numFmtId="0" fontId="47" fillId="0" borderId="42" xfId="0" applyFont="1" applyBorder="1" applyAlignment="1">
      <alignment horizontal="center" vertical="top"/>
    </xf>
    <xf numFmtId="0" fontId="47" fillId="0" borderId="43" xfId="0" applyFont="1" applyBorder="1" applyAlignment="1">
      <alignment horizontal="center" vertical="top"/>
    </xf>
    <xf numFmtId="0" fontId="45" fillId="0" borderId="44" xfId="0" applyFont="1" applyBorder="1"/>
    <xf numFmtId="0" fontId="46" fillId="0" borderId="0" xfId="0" applyFont="1" applyAlignment="1">
      <alignment vertical="top" textRotation="255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 textRotation="255" wrapText="1"/>
    </xf>
    <xf numFmtId="0" fontId="45" fillId="0" borderId="0" xfId="0" applyFont="1" applyAlignment="1">
      <alignment horizontal="center" vertical="center" textRotation="255" wrapText="1"/>
    </xf>
    <xf numFmtId="0" fontId="47" fillId="0" borderId="0" xfId="0" applyFont="1" applyAlignment="1">
      <alignment horizontal="center" vertical="top"/>
    </xf>
    <xf numFmtId="0" fontId="47" fillId="0" borderId="45" xfId="0" applyFont="1" applyBorder="1" applyAlignment="1">
      <alignment horizontal="center" vertical="top"/>
    </xf>
    <xf numFmtId="0" fontId="47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46" xfId="0" applyFont="1" applyBorder="1"/>
    <xf numFmtId="0" fontId="45" fillId="0" borderId="10" xfId="0" applyFont="1" applyBorder="1"/>
    <xf numFmtId="0" fontId="45" fillId="0" borderId="11" xfId="0" applyFont="1" applyBorder="1" applyAlignment="1">
      <alignment horizontal="center" vertical="center" shrinkToFit="1"/>
    </xf>
    <xf numFmtId="0" fontId="45" fillId="0" borderId="47" xfId="0" applyFont="1" applyBorder="1"/>
    <xf numFmtId="0" fontId="45" fillId="0" borderId="48" xfId="0" applyFont="1" applyBorder="1" applyAlignment="1">
      <alignment vertical="distributed" textRotation="255"/>
    </xf>
    <xf numFmtId="0" fontId="48" fillId="0" borderId="49" xfId="0" applyFont="1" applyBorder="1" applyAlignment="1">
      <alignment horizontal="center" vertical="center" textRotation="255" wrapText="1"/>
    </xf>
    <xf numFmtId="0" fontId="48" fillId="0" borderId="47" xfId="0" applyFont="1" applyBorder="1" applyAlignment="1">
      <alignment horizontal="center" vertical="center" textRotation="255" wrapText="1"/>
    </xf>
    <xf numFmtId="0" fontId="48" fillId="0" borderId="48" xfId="0" applyFont="1" applyBorder="1" applyAlignment="1">
      <alignment horizontal="center" vertical="center" textRotation="255" wrapText="1"/>
    </xf>
    <xf numFmtId="0" fontId="49" fillId="0" borderId="47" xfId="0" applyFont="1" applyBorder="1"/>
    <xf numFmtId="0" fontId="47" fillId="0" borderId="47" xfId="0" applyFont="1" applyBorder="1" applyAlignment="1">
      <alignment horizontal="distributed" vertical="center"/>
    </xf>
    <xf numFmtId="0" fontId="47" fillId="0" borderId="49" xfId="0" applyFont="1" applyBorder="1" applyAlignment="1">
      <alignment vertical="center"/>
    </xf>
    <xf numFmtId="0" fontId="47" fillId="0" borderId="50" xfId="0" applyFont="1" applyBorder="1" applyAlignment="1">
      <alignment vertical="center"/>
    </xf>
    <xf numFmtId="0" fontId="45" fillId="0" borderId="13" xfId="0" applyFont="1" applyBorder="1" applyAlignment="1">
      <alignment vertical="distributed" textRotation="255"/>
    </xf>
    <xf numFmtId="0" fontId="49" fillId="0" borderId="0" xfId="0" applyFont="1"/>
    <xf numFmtId="0" fontId="47" fillId="0" borderId="0" xfId="0" applyFont="1" applyAlignment="1">
      <alignment horizontal="distributed" vertical="center"/>
    </xf>
    <xf numFmtId="0" fontId="47" fillId="0" borderId="14" xfId="0" applyFont="1" applyBorder="1" applyAlignment="1">
      <alignment vertical="center"/>
    </xf>
    <xf numFmtId="0" fontId="47" fillId="0" borderId="45" xfId="0" applyFont="1" applyBorder="1" applyAlignment="1">
      <alignment vertical="center"/>
    </xf>
    <xf numFmtId="0" fontId="48" fillId="0" borderId="13" xfId="0" applyFont="1" applyBorder="1" applyAlignment="1">
      <alignment vertical="distributed" textRotation="255"/>
    </xf>
    <xf numFmtId="0" fontId="47" fillId="0" borderId="0" xfId="0" applyFont="1" applyAlignment="1">
      <alignment horizontal="distributed"/>
    </xf>
    <xf numFmtId="0" fontId="47" fillId="0" borderId="0" xfId="0" applyFont="1" applyAlignment="1">
      <alignment horizontal="distributed" vertical="top"/>
    </xf>
    <xf numFmtId="0" fontId="48" fillId="0" borderId="0" xfId="0" applyFont="1" applyAlignment="1">
      <alignment vertical="distributed" textRotation="255"/>
    </xf>
    <xf numFmtId="0" fontId="49" fillId="0" borderId="12" xfId="0" applyFont="1" applyBorder="1"/>
    <xf numFmtId="0" fontId="47" fillId="0" borderId="12" xfId="0" applyFont="1" applyBorder="1" applyAlignment="1">
      <alignment horizontal="distributed" vertical="center"/>
    </xf>
    <xf numFmtId="0" fontId="47" fillId="0" borderId="20" xfId="0" applyFont="1" applyBorder="1" applyAlignment="1">
      <alignment vertical="center"/>
    </xf>
    <xf numFmtId="0" fontId="47" fillId="0" borderId="51" xfId="0" applyFont="1" applyBorder="1" applyAlignment="1">
      <alignment vertical="center"/>
    </xf>
    <xf numFmtId="0" fontId="48" fillId="0" borderId="44" xfId="0" applyFont="1" applyBorder="1"/>
    <xf numFmtId="0" fontId="49" fillId="0" borderId="11" xfId="0" applyFont="1" applyBorder="1"/>
    <xf numFmtId="0" fontId="47" fillId="0" borderId="11" xfId="0" applyFont="1" applyBorder="1" applyAlignment="1">
      <alignment horizontal="distributed"/>
    </xf>
    <xf numFmtId="0" fontId="47" fillId="0" borderId="17" xfId="0" applyFont="1" applyBorder="1"/>
    <xf numFmtId="0" fontId="49" fillId="0" borderId="52" xfId="0" applyFont="1" applyBorder="1"/>
    <xf numFmtId="0" fontId="48" fillId="0" borderId="0" xfId="0" applyFont="1"/>
    <xf numFmtId="0" fontId="47" fillId="0" borderId="14" xfId="0" applyFont="1" applyBorder="1"/>
    <xf numFmtId="0" fontId="48" fillId="0" borderId="0" xfId="0" applyFont="1" applyAlignment="1">
      <alignment horizontal="center" vertical="center"/>
    </xf>
    <xf numFmtId="0" fontId="49" fillId="0" borderId="45" xfId="0" applyFont="1" applyBorder="1"/>
    <xf numFmtId="0" fontId="47" fillId="0" borderId="12" xfId="0" applyFont="1" applyBorder="1" applyAlignment="1">
      <alignment horizontal="distributed" vertical="top"/>
    </xf>
    <xf numFmtId="0" fontId="47" fillId="0" borderId="20" xfId="0" applyFont="1" applyBorder="1"/>
    <xf numFmtId="0" fontId="49" fillId="0" borderId="51" xfId="0" applyFont="1" applyBorder="1"/>
    <xf numFmtId="0" fontId="47" fillId="0" borderId="17" xfId="0" applyFont="1" applyBorder="1" applyAlignment="1">
      <alignment horizontal="distributed"/>
    </xf>
    <xf numFmtId="0" fontId="48" fillId="0" borderId="44" xfId="0" applyFont="1" applyBorder="1" applyAlignment="1">
      <alignment horizontal="left"/>
    </xf>
    <xf numFmtId="0" fontId="48" fillId="0" borderId="13" xfId="0" applyFont="1" applyBorder="1" applyAlignment="1">
      <alignment horizontal="center" vertical="center"/>
    </xf>
    <xf numFmtId="0" fontId="47" fillId="0" borderId="14" xfId="0" applyFont="1" applyBorder="1" applyAlignment="1">
      <alignment horizontal="distributed"/>
    </xf>
    <xf numFmtId="0" fontId="48" fillId="0" borderId="44" xfId="0" applyFont="1" applyBorder="1" applyAlignment="1">
      <alignment vertical="top"/>
    </xf>
    <xf numFmtId="0" fontId="48" fillId="0" borderId="0" xfId="0" applyFont="1" applyAlignment="1">
      <alignment horizontal="distributed" vertical="top"/>
    </xf>
    <xf numFmtId="0" fontId="49" fillId="0" borderId="0" xfId="0" applyFont="1" applyAlignment="1">
      <alignment horizontal="distributed"/>
    </xf>
    <xf numFmtId="0" fontId="49" fillId="0" borderId="14" xfId="0" applyFont="1" applyBorder="1" applyAlignment="1">
      <alignment horizontal="distributed"/>
    </xf>
    <xf numFmtId="0" fontId="48" fillId="0" borderId="44" xfId="0" applyFont="1" applyBorder="1" applyAlignment="1">
      <alignment horizontal="left" vertical="top"/>
    </xf>
    <xf numFmtId="0" fontId="47" fillId="0" borderId="14" xfId="0" applyFont="1" applyBorder="1" applyAlignment="1">
      <alignment horizontal="distributed" vertical="top"/>
    </xf>
    <xf numFmtId="0" fontId="45" fillId="0" borderId="13" xfId="0" applyFont="1" applyBorder="1"/>
    <xf numFmtId="0" fontId="48" fillId="0" borderId="20" xfId="0" applyFont="1" applyBorder="1" applyAlignment="1">
      <alignment horizontal="center" vertical="center" textRotation="255" wrapText="1"/>
    </xf>
    <xf numFmtId="0" fontId="48" fillId="0" borderId="12" xfId="0" applyFont="1" applyBorder="1" applyAlignment="1">
      <alignment horizontal="center" vertical="center" textRotation="255" wrapText="1"/>
    </xf>
    <xf numFmtId="0" fontId="48" fillId="0" borderId="16" xfId="0" applyFont="1" applyBorder="1" applyAlignment="1">
      <alignment horizontal="center" vertical="center" textRotation="255" wrapText="1"/>
    </xf>
    <xf numFmtId="0" fontId="47" fillId="0" borderId="20" xfId="0" applyFont="1" applyBorder="1" applyAlignment="1">
      <alignment horizontal="distributed" vertical="top"/>
    </xf>
    <xf numFmtId="0" fontId="48" fillId="0" borderId="11" xfId="0" applyFont="1" applyBorder="1" applyAlignment="1">
      <alignment horizontal="center" vertical="center" textRotation="255"/>
    </xf>
    <xf numFmtId="0" fontId="49" fillId="0" borderId="17" xfId="0" applyFont="1" applyBorder="1"/>
    <xf numFmtId="0" fontId="47" fillId="0" borderId="11" xfId="0" applyFont="1" applyBorder="1" applyAlignment="1">
      <alignment horizontal="distributed" vertical="top"/>
    </xf>
    <xf numFmtId="0" fontId="47" fillId="0" borderId="17" xfId="0" applyFont="1" applyBorder="1" applyAlignment="1">
      <alignment horizontal="distributed" vertical="top"/>
    </xf>
    <xf numFmtId="0" fontId="47" fillId="0" borderId="11" xfId="0" applyFont="1" applyBorder="1" applyAlignment="1">
      <alignment horizontal="right"/>
    </xf>
    <xf numFmtId="0" fontId="47" fillId="0" borderId="52" xfId="0" applyFont="1" applyBorder="1" applyAlignment="1">
      <alignment horizontal="right"/>
    </xf>
    <xf numFmtId="0" fontId="49" fillId="0" borderId="14" xfId="0" applyFont="1" applyBorder="1"/>
    <xf numFmtId="0" fontId="47" fillId="0" borderId="14" xfId="0" applyFont="1" applyBorder="1" applyAlignment="1">
      <alignment vertical="top"/>
    </xf>
    <xf numFmtId="0" fontId="47" fillId="0" borderId="45" xfId="0" applyFont="1" applyBorder="1" applyAlignment="1">
      <alignment vertical="top"/>
    </xf>
    <xf numFmtId="0" fontId="49" fillId="0" borderId="20" xfId="0" applyFont="1" applyBorder="1"/>
    <xf numFmtId="0" fontId="47" fillId="0" borderId="12" xfId="0" applyFont="1" applyBorder="1" applyAlignment="1">
      <alignment horizontal="right"/>
    </xf>
    <xf numFmtId="0" fontId="47" fillId="0" borderId="51" xfId="0" applyFont="1" applyBorder="1" applyAlignment="1">
      <alignment horizontal="right"/>
    </xf>
    <xf numFmtId="0" fontId="47" fillId="0" borderId="45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45" fillId="0" borderId="53" xfId="0" applyFont="1" applyBorder="1"/>
    <xf numFmtId="0" fontId="45" fillId="0" borderId="11" xfId="0" applyFont="1" applyBorder="1"/>
    <xf numFmtId="0" fontId="52" fillId="0" borderId="0" xfId="0" applyFont="1" applyAlignment="1">
      <alignment horizontal="left" vertical="center"/>
    </xf>
    <xf numFmtId="0" fontId="52" fillId="0" borderId="0" xfId="0" applyFont="1" applyAlignment="1">
      <alignment horizontal="distributed" vertical="center"/>
    </xf>
    <xf numFmtId="0" fontId="52" fillId="0" borderId="45" xfId="0" applyFont="1" applyBorder="1" applyAlignment="1">
      <alignment horizontal="center" vertical="center"/>
    </xf>
    <xf numFmtId="0" fontId="52" fillId="0" borderId="54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0" fontId="45" fillId="0" borderId="45" xfId="0" applyFont="1" applyBorder="1"/>
    <xf numFmtId="0" fontId="50" fillId="0" borderId="44" xfId="0" applyFont="1" applyBorder="1"/>
    <xf numFmtId="0" fontId="45" fillId="0" borderId="0" xfId="0" applyFont="1" applyAlignment="1">
      <alignment vertical="distributed" wrapText="1"/>
    </xf>
    <xf numFmtId="0" fontId="45" fillId="0" borderId="0" xfId="0" applyFont="1" applyAlignment="1">
      <alignment vertical="distributed"/>
    </xf>
    <xf numFmtId="0" fontId="45" fillId="0" borderId="11" xfId="0" applyFont="1" applyBorder="1" applyAlignment="1">
      <alignment horizontal="distributed" vertical="center"/>
    </xf>
    <xf numFmtId="0" fontId="45" fillId="0" borderId="11" xfId="0" applyFont="1" applyBorder="1" applyAlignment="1">
      <alignment vertical="distributed"/>
    </xf>
    <xf numFmtId="0" fontId="48" fillId="0" borderId="53" xfId="0" applyFont="1" applyBorder="1" applyAlignment="1">
      <alignment horizontal="center" vertical="center"/>
    </xf>
    <xf numFmtId="0" fontId="48" fillId="0" borderId="11" xfId="0" applyFont="1" applyBorder="1" applyAlignment="1">
      <alignment horizontal="distributed" vertical="center"/>
    </xf>
    <xf numFmtId="0" fontId="48" fillId="0" borderId="15" xfId="0" applyFont="1" applyBorder="1" applyAlignment="1">
      <alignment horizontal="distributed" vertical="center"/>
    </xf>
    <xf numFmtId="0" fontId="48" fillId="0" borderId="17" xfId="0" applyFont="1" applyBorder="1" applyAlignment="1">
      <alignment vertical="center"/>
    </xf>
    <xf numFmtId="0" fontId="45" fillId="0" borderId="11" xfId="0" applyFont="1" applyBorder="1" applyAlignment="1">
      <alignment horizontal="center" vertical="center"/>
    </xf>
    <xf numFmtId="0" fontId="45" fillId="0" borderId="11" xfId="0" applyFont="1" applyBorder="1" applyAlignment="1">
      <alignment vertical="center"/>
    </xf>
    <xf numFmtId="0" fontId="45" fillId="0" borderId="52" xfId="0" applyFont="1" applyBorder="1" applyAlignment="1">
      <alignment vertical="center"/>
    </xf>
    <xf numFmtId="190" fontId="45" fillId="0" borderId="0" xfId="0" applyNumberFormat="1" applyFont="1"/>
    <xf numFmtId="0" fontId="48" fillId="0" borderId="54" xfId="0" applyFont="1" applyBorder="1" applyAlignment="1">
      <alignment horizontal="center" vertical="center"/>
    </xf>
    <xf numFmtId="0" fontId="48" fillId="0" borderId="12" xfId="0" applyFont="1" applyBorder="1" applyAlignment="1">
      <alignment horizontal="distributed" vertical="center"/>
    </xf>
    <xf numFmtId="0" fontId="48" fillId="0" borderId="16" xfId="0" applyFont="1" applyBorder="1" applyAlignment="1">
      <alignment horizontal="distributed" vertical="center"/>
    </xf>
    <xf numFmtId="0" fontId="48" fillId="0" borderId="20" xfId="0" applyFont="1" applyBorder="1" applyAlignment="1">
      <alignment vertical="center"/>
    </xf>
    <xf numFmtId="0" fontId="45" fillId="0" borderId="12" xfId="0" applyFont="1" applyBorder="1" applyAlignment="1">
      <alignment vertical="center"/>
    </xf>
    <xf numFmtId="0" fontId="45" fillId="0" borderId="51" xfId="0" applyFont="1" applyBorder="1" applyAlignment="1">
      <alignment vertical="center"/>
    </xf>
    <xf numFmtId="0" fontId="45" fillId="0" borderId="0" xfId="0" applyFont="1" applyAlignment="1">
      <alignment horizontal="right"/>
    </xf>
    <xf numFmtId="0" fontId="46" fillId="0" borderId="11" xfId="0" applyFont="1" applyBorder="1"/>
    <xf numFmtId="0" fontId="46" fillId="0" borderId="12" xfId="0" applyFont="1" applyBorder="1"/>
    <xf numFmtId="0" fontId="48" fillId="0" borderId="53" xfId="0" applyFont="1" applyBorder="1" applyAlignment="1">
      <alignment horizontal="center" vertical="distributed" textRotation="255"/>
    </xf>
    <xf numFmtId="0" fontId="46" fillId="0" borderId="0" xfId="0" applyFont="1"/>
    <xf numFmtId="0" fontId="48" fillId="0" borderId="44" xfId="0" applyFont="1" applyBorder="1" applyAlignment="1">
      <alignment horizontal="center" vertical="distributed" textRotation="255"/>
    </xf>
    <xf numFmtId="0" fontId="48" fillId="0" borderId="54" xfId="0" applyFont="1" applyBorder="1" applyAlignment="1">
      <alignment horizontal="center" vertical="distributed" textRotation="255"/>
    </xf>
    <xf numFmtId="0" fontId="48" fillId="0" borderId="54" xfId="0" applyFont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48" fillId="0" borderId="53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distributed" vertical="center" wrapText="1"/>
    </xf>
    <xf numFmtId="0" fontId="48" fillId="0" borderId="44" xfId="0" applyFont="1" applyBorder="1" applyAlignment="1">
      <alignment horizontal="center" vertical="center" wrapText="1"/>
    </xf>
    <xf numFmtId="0" fontId="48" fillId="0" borderId="0" xfId="0" applyFont="1" applyAlignment="1">
      <alignment horizontal="distributed" vertical="center" wrapText="1"/>
    </xf>
    <xf numFmtId="0" fontId="45" fillId="0" borderId="53" xfId="0" applyFont="1" applyBorder="1" applyAlignment="1">
      <alignment horizontal="center" vertical="center"/>
    </xf>
    <xf numFmtId="0" fontId="45" fillId="0" borderId="11" xfId="0" applyFont="1" applyBorder="1" applyAlignment="1">
      <alignment horizontal="left"/>
    </xf>
    <xf numFmtId="0" fontId="49" fillId="0" borderId="11" xfId="0" applyFont="1" applyBorder="1" applyAlignment="1">
      <alignment horizontal="left"/>
    </xf>
    <xf numFmtId="0" fontId="49" fillId="0" borderId="52" xfId="0" applyFont="1" applyBorder="1" applyAlignment="1">
      <alignment horizontal="left"/>
    </xf>
    <xf numFmtId="0" fontId="47" fillId="0" borderId="0" xfId="0" applyFont="1" applyAlignment="1">
      <alignment vertical="center"/>
    </xf>
    <xf numFmtId="0" fontId="48" fillId="0" borderId="0" xfId="0" applyFont="1" applyAlignment="1">
      <alignment horizontal="left"/>
    </xf>
    <xf numFmtId="0" fontId="48" fillId="0" borderId="45" xfId="0" applyFont="1" applyBorder="1"/>
    <xf numFmtId="0" fontId="48" fillId="0" borderId="55" xfId="0" applyFont="1" applyBorder="1"/>
    <xf numFmtId="0" fontId="48" fillId="0" borderId="56" xfId="0" applyFont="1" applyBorder="1"/>
    <xf numFmtId="0" fontId="48" fillId="0" borderId="56" xfId="0" applyFont="1" applyBorder="1" applyAlignment="1">
      <alignment horizontal="left"/>
    </xf>
    <xf numFmtId="0" fontId="48" fillId="0" borderId="57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0" xfId="0" applyFont="1" applyBorder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183" fontId="6" fillId="0" borderId="67" xfId="0" applyNumberFormat="1" applyFont="1" applyBorder="1" applyAlignment="1">
      <alignment horizontal="right" vertical="center" shrinkToFit="1"/>
    </xf>
    <xf numFmtId="183" fontId="27" fillId="0" borderId="38" xfId="0" applyNumberFormat="1" applyFont="1" applyBorder="1" applyAlignment="1">
      <alignment horizontal="right" vertical="center" shrinkToFit="1"/>
    </xf>
    <xf numFmtId="183" fontId="27" fillId="0" borderId="63" xfId="0" applyNumberFormat="1" applyFont="1" applyBorder="1" applyAlignment="1">
      <alignment horizontal="right" vertical="center" shrinkToFit="1"/>
    </xf>
    <xf numFmtId="183" fontId="27" fillId="0" borderId="68" xfId="0" applyNumberFormat="1" applyFont="1" applyBorder="1" applyAlignment="1">
      <alignment horizontal="right" vertical="center" shrinkToFit="1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32" fillId="0" borderId="71" xfId="0" applyFont="1" applyBorder="1"/>
    <xf numFmtId="183" fontId="6" fillId="0" borderId="72" xfId="0" applyNumberFormat="1" applyFont="1" applyBorder="1" applyAlignment="1">
      <alignment horizontal="right" vertical="center" shrinkToFit="1"/>
    </xf>
    <xf numFmtId="183" fontId="6" fillId="0" borderId="73" xfId="0" applyNumberFormat="1" applyFont="1" applyBorder="1" applyAlignment="1">
      <alignment horizontal="right" vertical="center" shrinkToFit="1"/>
    </xf>
    <xf numFmtId="183" fontId="6" fillId="0" borderId="74" xfId="0" applyNumberFormat="1" applyFont="1" applyBorder="1" applyAlignment="1">
      <alignment horizontal="right" vertical="center" shrinkToFit="1"/>
    </xf>
    <xf numFmtId="0" fontId="31" fillId="0" borderId="15" xfId="0" applyFont="1" applyBorder="1" applyAlignment="1">
      <alignment horizontal="distributed" vertical="center" wrapText="1"/>
    </xf>
    <xf numFmtId="0" fontId="31" fillId="0" borderId="75" xfId="0" applyFont="1" applyBorder="1" applyAlignment="1">
      <alignment horizontal="distributed" vertical="center" wrapText="1"/>
    </xf>
    <xf numFmtId="0" fontId="0" fillId="0" borderId="17" xfId="0" applyBorder="1" applyAlignment="1">
      <alignment horizontal="distributed"/>
    </xf>
    <xf numFmtId="181" fontId="6" fillId="25" borderId="17" xfId="0" applyNumberFormat="1" applyFont="1" applyFill="1" applyBorder="1" applyAlignment="1" applyProtection="1">
      <alignment horizontal="right" vertical="center" shrinkToFit="1"/>
      <protection locked="0"/>
    </xf>
    <xf numFmtId="181" fontId="6" fillId="25" borderId="11" xfId="0" applyNumberFormat="1" applyFont="1" applyFill="1" applyBorder="1" applyAlignment="1" applyProtection="1">
      <alignment horizontal="right" vertical="center" shrinkToFit="1"/>
      <protection locked="0"/>
    </xf>
    <xf numFmtId="181" fontId="6" fillId="25" borderId="15" xfId="0" applyNumberFormat="1" applyFont="1" applyFill="1" applyBorder="1" applyAlignment="1" applyProtection="1">
      <alignment horizontal="right" vertical="center" shrinkToFit="1"/>
      <protection locked="0"/>
    </xf>
    <xf numFmtId="185" fontId="6" fillId="25" borderId="67" xfId="0" applyNumberFormat="1" applyFont="1" applyFill="1" applyBorder="1" applyAlignment="1" applyProtection="1">
      <alignment horizontal="right" vertical="center" shrinkToFit="1"/>
      <protection locked="0"/>
    </xf>
    <xf numFmtId="185" fontId="6" fillId="25" borderId="38" xfId="0" applyNumberFormat="1" applyFont="1" applyFill="1" applyBorder="1" applyAlignment="1" applyProtection="1">
      <alignment horizontal="right" vertical="center" shrinkToFit="1"/>
      <protection locked="0"/>
    </xf>
    <xf numFmtId="185" fontId="6" fillId="25" borderId="63" xfId="0" applyNumberFormat="1" applyFont="1" applyFill="1" applyBorder="1" applyAlignment="1" applyProtection="1">
      <alignment horizontal="right" vertical="center" shrinkToFit="1"/>
      <protection locked="0"/>
    </xf>
    <xf numFmtId="2" fontId="5" fillId="0" borderId="17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181" fontId="6" fillId="0" borderId="72" xfId="0" applyNumberFormat="1" applyFont="1" applyBorder="1" applyAlignment="1">
      <alignment horizontal="right" vertical="center" shrinkToFit="1"/>
    </xf>
    <xf numFmtId="181" fontId="6" fillId="0" borderId="73" xfId="0" applyNumberFormat="1" applyFont="1" applyBorder="1" applyAlignment="1">
      <alignment horizontal="right" vertical="center" shrinkToFit="1"/>
    </xf>
    <xf numFmtId="181" fontId="6" fillId="0" borderId="76" xfId="0" applyNumberFormat="1" applyFont="1" applyBorder="1" applyAlignment="1">
      <alignment horizontal="right" vertical="center" shrinkToFit="1"/>
    </xf>
    <xf numFmtId="184" fontId="3" fillId="0" borderId="71" xfId="0" applyNumberFormat="1" applyFont="1" applyBorder="1" applyAlignment="1">
      <alignment horizontal="right" vertical="center" shrinkToFit="1"/>
    </xf>
    <xf numFmtId="184" fontId="3" fillId="0" borderId="40" xfId="0" applyNumberFormat="1" applyFont="1" applyBorder="1" applyAlignment="1">
      <alignment horizontal="right" vertical="center" shrinkToFit="1"/>
    </xf>
    <xf numFmtId="184" fontId="3" fillId="0" borderId="69" xfId="0" applyNumberFormat="1" applyFont="1" applyBorder="1" applyAlignment="1">
      <alignment horizontal="right" vertical="center" shrinkToFit="1"/>
    </xf>
    <xf numFmtId="0" fontId="4" fillId="0" borderId="77" xfId="0" applyFont="1" applyBorder="1"/>
    <xf numFmtId="0" fontId="30" fillId="0" borderId="78" xfId="0" applyFont="1" applyBorder="1"/>
    <xf numFmtId="0" fontId="30" fillId="0" borderId="79" xfId="0" applyFont="1" applyBorder="1"/>
    <xf numFmtId="183" fontId="6" fillId="0" borderId="76" xfId="0" applyNumberFormat="1" applyFont="1" applyBorder="1" applyAlignment="1">
      <alignment horizontal="right" vertical="center" shrinkToFit="1"/>
    </xf>
    <xf numFmtId="0" fontId="31" fillId="0" borderId="63" xfId="0" applyFont="1" applyBorder="1" applyAlignment="1">
      <alignment horizontal="distributed" vertical="center" wrapText="1"/>
    </xf>
    <xf numFmtId="0" fontId="31" fillId="0" borderId="80" xfId="0" applyFont="1" applyBorder="1" applyAlignment="1">
      <alignment horizontal="distributed" vertical="center" wrapText="1"/>
    </xf>
    <xf numFmtId="0" fontId="0" fillId="0" borderId="67" xfId="0" applyBorder="1" applyAlignment="1">
      <alignment horizontal="distributed"/>
    </xf>
    <xf numFmtId="181" fontId="6" fillId="25" borderId="67" xfId="0" applyNumberFormat="1" applyFont="1" applyFill="1" applyBorder="1" applyAlignment="1" applyProtection="1">
      <alignment horizontal="right" vertical="center" shrinkToFit="1"/>
      <protection locked="0"/>
    </xf>
    <xf numFmtId="181" fontId="6" fillId="25" borderId="38" xfId="0" applyNumberFormat="1" applyFont="1" applyFill="1" applyBorder="1" applyAlignment="1" applyProtection="1">
      <alignment horizontal="right" vertical="center" shrinkToFit="1"/>
      <protection locked="0"/>
    </xf>
    <xf numFmtId="181" fontId="6" fillId="25" borderId="63" xfId="0" applyNumberFormat="1" applyFont="1" applyFill="1" applyBorder="1" applyAlignment="1" applyProtection="1">
      <alignment horizontal="right" vertical="center" shrinkToFit="1"/>
      <protection locked="0"/>
    </xf>
    <xf numFmtId="2" fontId="5" fillId="0" borderId="67" xfId="0" applyNumberFormat="1" applyFont="1" applyBorder="1" applyAlignment="1">
      <alignment horizontal="center" vertical="center"/>
    </xf>
    <xf numFmtId="2" fontId="8" fillId="0" borderId="38" xfId="0" applyNumberFormat="1" applyFont="1" applyBorder="1" applyAlignment="1">
      <alignment horizontal="center" vertical="center"/>
    </xf>
    <xf numFmtId="2" fontId="8" fillId="0" borderId="63" xfId="0" applyNumberFormat="1" applyFont="1" applyBorder="1" applyAlignment="1">
      <alignment horizontal="center" vertical="center"/>
    </xf>
    <xf numFmtId="0" fontId="29" fillId="0" borderId="67" xfId="0" applyFont="1" applyBorder="1" applyAlignment="1">
      <alignment horizontal="distributed"/>
    </xf>
    <xf numFmtId="0" fontId="31" fillId="0" borderId="38" xfId="0" applyFont="1" applyBorder="1" applyAlignment="1">
      <alignment horizontal="distributed" vertical="center" wrapText="1"/>
    </xf>
    <xf numFmtId="0" fontId="29" fillId="0" borderId="38" xfId="0" applyFont="1" applyBorder="1" applyAlignment="1">
      <alignment horizontal="distributed"/>
    </xf>
    <xf numFmtId="0" fontId="31" fillId="0" borderId="6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3" fillId="0" borderId="80" xfId="0" applyFont="1" applyBorder="1"/>
    <xf numFmtId="0" fontId="0" fillId="0" borderId="67" xfId="0" applyBorder="1"/>
    <xf numFmtId="0" fontId="3" fillId="0" borderId="81" xfId="0" applyFont="1" applyBorder="1"/>
    <xf numFmtId="0" fontId="5" fillId="0" borderId="17" xfId="0" applyFont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0" fontId="0" fillId="0" borderId="14" xfId="0" applyBorder="1"/>
    <xf numFmtId="0" fontId="0" fillId="0" borderId="0" xfId="0"/>
    <xf numFmtId="0" fontId="0" fillId="0" borderId="13" xfId="0" applyBorder="1"/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181" fontId="27" fillId="25" borderId="38" xfId="0" applyNumberFormat="1" applyFont="1" applyFill="1" applyBorder="1" applyAlignment="1" applyProtection="1">
      <alignment horizontal="right" vertical="center" shrinkToFit="1"/>
      <protection locked="0"/>
    </xf>
    <xf numFmtId="181" fontId="27" fillId="25" borderId="63" xfId="0" applyNumberFormat="1" applyFont="1" applyFill="1" applyBorder="1" applyAlignment="1" applyProtection="1">
      <alignment horizontal="right" vertical="center" shrinkToFit="1"/>
      <protection locked="0"/>
    </xf>
    <xf numFmtId="0" fontId="31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83" xfId="0" applyFont="1" applyBorder="1"/>
    <xf numFmtId="0" fontId="6" fillId="0" borderId="84" xfId="0" applyFont="1" applyBorder="1"/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5" fillId="0" borderId="0" xfId="43">
      <alignment vertical="center"/>
    </xf>
    <xf numFmtId="0" fontId="52" fillId="0" borderId="0" xfId="0" applyFont="1" applyAlignment="1">
      <alignment horizontal="left" vertical="center"/>
    </xf>
    <xf numFmtId="0" fontId="51" fillId="25" borderId="0" xfId="0" applyFont="1" applyFill="1" applyProtection="1">
      <protection locked="0"/>
    </xf>
    <xf numFmtId="0" fontId="51" fillId="25" borderId="0" xfId="0" applyFont="1" applyFill="1" applyAlignment="1" applyProtection="1">
      <alignment horizontal="right"/>
      <protection locked="0"/>
    </xf>
    <xf numFmtId="0" fontId="48" fillId="0" borderId="17" xfId="0" applyFont="1" applyBorder="1" applyAlignment="1">
      <alignment horizontal="center" vertical="center" textRotation="255"/>
    </xf>
    <xf numFmtId="0" fontId="48" fillId="0" borderId="11" xfId="0" applyFont="1" applyBorder="1" applyAlignment="1">
      <alignment horizontal="center" vertical="center" textRotation="255"/>
    </xf>
    <xf numFmtId="0" fontId="48" fillId="0" borderId="15" xfId="0" applyFont="1" applyBorder="1" applyAlignment="1">
      <alignment horizontal="center" vertical="center" textRotation="255"/>
    </xf>
    <xf numFmtId="0" fontId="48" fillId="0" borderId="14" xfId="0" applyFont="1" applyBorder="1" applyAlignment="1">
      <alignment horizontal="center" vertical="center" textRotation="255"/>
    </xf>
    <xf numFmtId="0" fontId="48" fillId="0" borderId="0" xfId="0" applyFont="1" applyAlignment="1">
      <alignment horizontal="center" vertical="center" textRotation="255"/>
    </xf>
    <xf numFmtId="0" fontId="48" fillId="0" borderId="13" xfId="0" applyFont="1" applyBorder="1" applyAlignment="1">
      <alignment horizontal="center" vertical="center" textRotation="255"/>
    </xf>
    <xf numFmtId="0" fontId="48" fillId="0" borderId="0" xfId="0" applyFont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" fillId="25" borderId="0" xfId="0" applyFont="1" applyFill="1" applyAlignment="1" applyProtection="1">
      <alignment horizontal="left" vertical="center" wrapText="1"/>
      <protection locked="0"/>
    </xf>
    <xf numFmtId="0" fontId="47" fillId="25" borderId="0" xfId="0" applyFont="1" applyFill="1" applyAlignment="1" applyProtection="1">
      <alignment horizontal="left" vertical="center" wrapText="1"/>
      <protection locked="0"/>
    </xf>
    <xf numFmtId="0" fontId="47" fillId="0" borderId="0" xfId="0" applyFont="1" applyAlignment="1">
      <alignment horizontal="distributed" vertical="center"/>
    </xf>
    <xf numFmtId="0" fontId="52" fillId="0" borderId="44" xfId="0" applyFont="1" applyBorder="1" applyAlignment="1">
      <alignment horizontal="right" vertical="center"/>
    </xf>
    <xf numFmtId="0" fontId="52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47" fillId="0" borderId="0" xfId="0" applyFont="1" applyAlignment="1">
      <alignment horizontal="distributed" vertical="center" wrapText="1"/>
    </xf>
    <xf numFmtId="0" fontId="48" fillId="0" borderId="0" xfId="0" applyFont="1" applyAlignment="1">
      <alignment horizontal="right" vertical="center" shrinkToFit="1"/>
    </xf>
    <xf numFmtId="0" fontId="45" fillId="25" borderId="11" xfId="0" applyFont="1" applyFill="1" applyBorder="1" applyAlignment="1" applyProtection="1">
      <alignment horizontal="center" vertical="center"/>
      <protection locked="0"/>
    </xf>
    <xf numFmtId="0" fontId="45" fillId="25" borderId="12" xfId="0" applyFont="1" applyFill="1" applyBorder="1" applyAlignment="1" applyProtection="1">
      <alignment horizontal="center" vertical="center"/>
      <protection locked="0"/>
    </xf>
    <xf numFmtId="177" fontId="45" fillId="0" borderId="11" xfId="0" applyNumberFormat="1" applyFont="1" applyBorder="1" applyAlignment="1">
      <alignment horizontal="left" vertical="center"/>
    </xf>
    <xf numFmtId="177" fontId="45" fillId="0" borderId="12" xfId="0" applyNumberFormat="1" applyFont="1" applyBorder="1" applyAlignment="1">
      <alignment horizontal="left" vertical="center"/>
    </xf>
    <xf numFmtId="0" fontId="45" fillId="0" borderId="0" xfId="0" applyFont="1" applyAlignment="1">
      <alignment horizontal="distributed" vertical="center" wrapText="1"/>
    </xf>
    <xf numFmtId="0" fontId="45" fillId="0" borderId="0" xfId="0" applyFont="1" applyAlignment="1">
      <alignment horizontal="center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17" xfId="0" applyFont="1" applyBorder="1" applyAlignment="1">
      <alignment horizontal="left" vertical="center"/>
    </xf>
    <xf numFmtId="0" fontId="49" fillId="0" borderId="11" xfId="0" applyFont="1" applyBorder="1"/>
    <xf numFmtId="0" fontId="49" fillId="0" borderId="52" xfId="0" applyFont="1" applyBorder="1"/>
    <xf numFmtId="0" fontId="49" fillId="0" borderId="20" xfId="0" applyFont="1" applyBorder="1"/>
    <xf numFmtId="0" fontId="49" fillId="0" borderId="12" xfId="0" applyFont="1" applyBorder="1"/>
    <xf numFmtId="0" fontId="49" fillId="0" borderId="51" xfId="0" applyFont="1" applyBorder="1"/>
    <xf numFmtId="0" fontId="45" fillId="0" borderId="11" xfId="0" applyFont="1" applyBorder="1" applyAlignment="1">
      <alignment horizontal="right" vertical="center"/>
    </xf>
    <xf numFmtId="0" fontId="45" fillId="0" borderId="12" xfId="0" applyFont="1" applyBorder="1" applyAlignment="1">
      <alignment horizontal="right" vertical="center"/>
    </xf>
    <xf numFmtId="0" fontId="45" fillId="0" borderId="11" xfId="0" applyFont="1" applyBorder="1" applyAlignment="1">
      <alignment horizontal="center" vertical="center" shrinkToFit="1"/>
    </xf>
    <xf numFmtId="0" fontId="45" fillId="0" borderId="12" xfId="0" applyFont="1" applyBorder="1" applyAlignment="1">
      <alignment horizontal="center" vertical="center" shrinkToFit="1"/>
    </xf>
    <xf numFmtId="0" fontId="45" fillId="0" borderId="0" xfId="0" applyFont="1" applyAlignment="1">
      <alignment horizontal="left" vertical="center" wrapText="1"/>
    </xf>
    <xf numFmtId="0" fontId="45" fillId="0" borderId="11" xfId="0" applyFont="1" applyBorder="1" applyAlignment="1">
      <alignment horizontal="distributed" vertical="center"/>
    </xf>
    <xf numFmtId="0" fontId="45" fillId="0" borderId="12" xfId="0" applyFont="1" applyBorder="1" applyAlignment="1">
      <alignment horizontal="distributed" vertical="center"/>
    </xf>
    <xf numFmtId="0" fontId="52" fillId="0" borderId="44" xfId="0" applyFont="1" applyBorder="1" applyAlignment="1">
      <alignment horizontal="center" vertical="center"/>
    </xf>
    <xf numFmtId="0" fontId="45" fillId="0" borderId="0" xfId="0" applyFont="1"/>
    <xf numFmtId="0" fontId="45" fillId="0" borderId="45" xfId="0" applyFont="1" applyBorder="1"/>
    <xf numFmtId="0" fontId="48" fillId="0" borderId="0" xfId="0" applyFont="1" applyAlignment="1">
      <alignment horizontal="left" vertical="center"/>
    </xf>
    <xf numFmtId="0" fontId="48" fillId="0" borderId="12" xfId="0" applyFont="1" applyBorder="1" applyAlignment="1">
      <alignment horizontal="left" vertical="center"/>
    </xf>
    <xf numFmtId="0" fontId="48" fillId="0" borderId="11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38" fontId="54" fillId="0" borderId="17" xfId="33" applyFont="1" applyBorder="1" applyAlignment="1">
      <alignment horizontal="right" vertical="center" indent="1" shrinkToFit="1"/>
    </xf>
    <xf numFmtId="38" fontId="54" fillId="0" borderId="11" xfId="33" applyFont="1" applyBorder="1" applyAlignment="1">
      <alignment horizontal="right" vertical="center" indent="1" shrinkToFit="1"/>
    </xf>
    <xf numFmtId="38" fontId="54" fillId="0" borderId="52" xfId="33" applyFont="1" applyBorder="1" applyAlignment="1">
      <alignment horizontal="right" vertical="center" indent="1" shrinkToFit="1"/>
    </xf>
    <xf numFmtId="38" fontId="54" fillId="0" borderId="20" xfId="33" applyFont="1" applyBorder="1" applyAlignment="1">
      <alignment horizontal="right" vertical="center" indent="1" shrinkToFit="1"/>
    </xf>
    <xf numFmtId="38" fontId="54" fillId="0" borderId="12" xfId="33" applyFont="1" applyBorder="1" applyAlignment="1">
      <alignment horizontal="right" vertical="center" indent="1" shrinkToFit="1"/>
    </xf>
    <xf numFmtId="38" fontId="54" fillId="0" borderId="51" xfId="33" applyFont="1" applyBorder="1" applyAlignment="1">
      <alignment horizontal="right" vertical="center" indent="1" shrinkToFit="1"/>
    </xf>
    <xf numFmtId="182" fontId="53" fillId="0" borderId="17" xfId="33" applyNumberFormat="1" applyFont="1" applyBorder="1" applyAlignment="1">
      <alignment horizontal="right" vertical="center" indent="2" shrinkToFit="1"/>
    </xf>
    <xf numFmtId="182" fontId="53" fillId="0" borderId="11" xfId="33" applyNumberFormat="1" applyFont="1" applyBorder="1" applyAlignment="1">
      <alignment horizontal="right" vertical="center" indent="2" shrinkToFit="1"/>
    </xf>
    <xf numFmtId="182" fontId="53" fillId="0" borderId="52" xfId="33" applyNumberFormat="1" applyFont="1" applyBorder="1" applyAlignment="1">
      <alignment horizontal="right" vertical="center" indent="2" shrinkToFit="1"/>
    </xf>
    <xf numFmtId="182" fontId="53" fillId="0" borderId="20" xfId="33" applyNumberFormat="1" applyFont="1" applyBorder="1" applyAlignment="1">
      <alignment horizontal="right" vertical="center" indent="2" shrinkToFit="1"/>
    </xf>
    <xf numFmtId="182" fontId="53" fillId="0" borderId="12" xfId="33" applyNumberFormat="1" applyFont="1" applyBorder="1" applyAlignment="1">
      <alignment horizontal="right" vertical="center" indent="2" shrinkToFit="1"/>
    </xf>
    <xf numFmtId="182" fontId="53" fillId="0" borderId="51" xfId="33" applyNumberFormat="1" applyFont="1" applyBorder="1" applyAlignment="1">
      <alignment horizontal="right" vertical="center" indent="2" shrinkToFit="1"/>
    </xf>
    <xf numFmtId="0" fontId="48" fillId="0" borderId="11" xfId="0" applyFont="1" applyBorder="1" applyAlignment="1">
      <alignment horizontal="left" vertical="center"/>
    </xf>
    <xf numFmtId="0" fontId="48" fillId="0" borderId="0" xfId="0" applyFont="1" applyAlignment="1">
      <alignment horizontal="left" wrapText="1"/>
    </xf>
    <xf numFmtId="0" fontId="48" fillId="0" borderId="45" xfId="0" applyFont="1" applyBorder="1" applyAlignment="1">
      <alignment horizontal="left" wrapText="1"/>
    </xf>
    <xf numFmtId="0" fontId="48" fillId="0" borderId="11" xfId="0" applyFont="1" applyBorder="1" applyAlignment="1">
      <alignment horizontal="distributed" vertical="center"/>
    </xf>
    <xf numFmtId="0" fontId="48" fillId="0" borderId="12" xfId="0" applyFont="1" applyBorder="1" applyAlignment="1">
      <alignment horizontal="distributed" vertical="center"/>
    </xf>
    <xf numFmtId="0" fontId="48" fillId="0" borderId="11" xfId="0" applyFont="1" applyBorder="1" applyAlignment="1">
      <alignment horizontal="distributed" vertical="center" wrapText="1"/>
    </xf>
    <xf numFmtId="0" fontId="48" fillId="0" borderId="0" xfId="0" applyFont="1" applyAlignment="1">
      <alignment horizontal="distributed" vertical="center" wrapText="1"/>
    </xf>
    <xf numFmtId="186" fontId="50" fillId="0" borderId="17" xfId="0" applyNumberFormat="1" applyFont="1" applyBorder="1" applyAlignment="1">
      <alignment horizontal="center" vertical="center"/>
    </xf>
    <xf numFmtId="186" fontId="50" fillId="0" borderId="11" xfId="0" applyNumberFormat="1" applyFont="1" applyBorder="1" applyAlignment="1">
      <alignment horizontal="center" vertical="center"/>
    </xf>
    <xf numFmtId="186" fontId="50" fillId="0" borderId="52" xfId="0" applyNumberFormat="1" applyFont="1" applyBorder="1" applyAlignment="1">
      <alignment horizontal="center" vertical="center"/>
    </xf>
    <xf numFmtId="186" fontId="50" fillId="0" borderId="20" xfId="0" applyNumberFormat="1" applyFont="1" applyBorder="1" applyAlignment="1">
      <alignment horizontal="center" vertical="center"/>
    </xf>
    <xf numFmtId="186" fontId="50" fillId="0" borderId="12" xfId="0" applyNumberFormat="1" applyFont="1" applyBorder="1" applyAlignment="1">
      <alignment horizontal="center" vertical="center"/>
    </xf>
    <xf numFmtId="186" fontId="50" fillId="0" borderId="51" xfId="0" applyNumberFormat="1" applyFont="1" applyBorder="1" applyAlignment="1">
      <alignment horizontal="center" vertical="center"/>
    </xf>
    <xf numFmtId="0" fontId="48" fillId="25" borderId="17" xfId="0" applyFont="1" applyFill="1" applyBorder="1" applyAlignment="1" applyProtection="1">
      <alignment horizontal="left" vertical="center" wrapText="1" indent="1"/>
      <protection locked="0"/>
    </xf>
    <xf numFmtId="0" fontId="48" fillId="25" borderId="11" xfId="0" applyFont="1" applyFill="1" applyBorder="1" applyAlignment="1" applyProtection="1">
      <alignment horizontal="left" vertical="center" wrapText="1" indent="1"/>
      <protection locked="0"/>
    </xf>
    <xf numFmtId="0" fontId="48" fillId="25" borderId="52" xfId="0" applyFont="1" applyFill="1" applyBorder="1" applyAlignment="1" applyProtection="1">
      <alignment horizontal="left" vertical="center" wrapText="1" indent="1"/>
      <protection locked="0"/>
    </xf>
    <xf numFmtId="0" fontId="48" fillId="25" borderId="14" xfId="0" applyFont="1" applyFill="1" applyBorder="1" applyAlignment="1" applyProtection="1">
      <alignment horizontal="left" vertical="center" wrapText="1" indent="1"/>
      <protection locked="0"/>
    </xf>
    <xf numFmtId="0" fontId="48" fillId="25" borderId="0" xfId="0" applyFont="1" applyFill="1" applyAlignment="1" applyProtection="1">
      <alignment horizontal="left" vertical="center" wrapText="1" indent="1"/>
      <protection locked="0"/>
    </xf>
    <xf numFmtId="0" fontId="48" fillId="25" borderId="45" xfId="0" applyFont="1" applyFill="1" applyBorder="1" applyAlignment="1" applyProtection="1">
      <alignment horizontal="left" vertical="center" wrapText="1" indent="1"/>
      <protection locked="0"/>
    </xf>
    <xf numFmtId="0" fontId="45" fillId="0" borderId="58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60" xfId="0" applyFont="1" applyBorder="1" applyAlignment="1">
      <alignment horizontal="center" vertical="center"/>
    </xf>
    <xf numFmtId="0" fontId="47" fillId="25" borderId="47" xfId="0" applyFont="1" applyFill="1" applyBorder="1" applyAlignment="1" applyProtection="1">
      <alignment horizontal="left" vertical="center" wrapText="1"/>
      <protection locked="0"/>
    </xf>
    <xf numFmtId="0" fontId="47" fillId="25" borderId="12" xfId="0" applyFont="1" applyFill="1" applyBorder="1" applyAlignment="1" applyProtection="1">
      <alignment horizontal="left" vertical="center" wrapText="1"/>
      <protection locked="0"/>
    </xf>
    <xf numFmtId="0" fontId="45" fillId="25" borderId="11" xfId="0" applyFont="1" applyFill="1" applyBorder="1" applyAlignment="1" applyProtection="1">
      <alignment shrinkToFit="1"/>
      <protection locked="0"/>
    </xf>
    <xf numFmtId="0" fontId="45" fillId="25" borderId="0" xfId="0" applyFont="1" applyFill="1" applyProtection="1">
      <protection locked="0"/>
    </xf>
    <xf numFmtId="0" fontId="45" fillId="25" borderId="12" xfId="0" applyFont="1" applyFill="1" applyBorder="1" applyAlignment="1" applyProtection="1">
      <alignment horizontal="left" vertical="top" indent="2"/>
      <protection locked="0"/>
    </xf>
    <xf numFmtId="0" fontId="45" fillId="0" borderId="58" xfId="0" applyFont="1" applyBorder="1" applyAlignment="1">
      <alignment horizontal="center" vertical="center" shrinkToFit="1"/>
    </xf>
    <xf numFmtId="0" fontId="45" fillId="0" borderId="59" xfId="0" applyFont="1" applyBorder="1" applyAlignment="1">
      <alignment horizontal="center" vertical="center" shrinkToFit="1"/>
    </xf>
    <xf numFmtId="0" fontId="47" fillId="0" borderId="0" xfId="0" applyFont="1" applyAlignment="1">
      <alignment horizontal="distributed" vertical="top"/>
    </xf>
    <xf numFmtId="0" fontId="47" fillId="0" borderId="12" xfId="0" applyFont="1" applyBorder="1" applyAlignment="1">
      <alignment horizontal="distributed" vertical="top"/>
    </xf>
    <xf numFmtId="0" fontId="50" fillId="25" borderId="17" xfId="0" applyFont="1" applyFill="1" applyBorder="1" applyAlignment="1" applyProtection="1">
      <alignment horizontal="center" vertical="center"/>
      <protection locked="0"/>
    </xf>
    <xf numFmtId="0" fontId="50" fillId="25" borderId="52" xfId="0" applyFont="1" applyFill="1" applyBorder="1" applyAlignment="1" applyProtection="1">
      <alignment horizontal="center" vertical="center"/>
      <protection locked="0"/>
    </xf>
    <xf numFmtId="0" fontId="50" fillId="25" borderId="20" xfId="0" applyFont="1" applyFill="1" applyBorder="1" applyAlignment="1" applyProtection="1">
      <alignment horizontal="center" vertical="center"/>
      <protection locked="0"/>
    </xf>
    <xf numFmtId="0" fontId="50" fillId="25" borderId="51" xfId="0" applyFont="1" applyFill="1" applyBorder="1" applyAlignment="1" applyProtection="1">
      <alignment horizontal="center" vertical="center"/>
      <protection locked="0"/>
    </xf>
    <xf numFmtId="0" fontId="50" fillId="25" borderId="22" xfId="0" applyFont="1" applyFill="1" applyBorder="1" applyAlignment="1" applyProtection="1">
      <alignment horizontal="center" vertical="center"/>
      <protection locked="0"/>
    </xf>
    <xf numFmtId="0" fontId="50" fillId="25" borderId="15" xfId="0" applyFont="1" applyFill="1" applyBorder="1" applyAlignment="1" applyProtection="1">
      <alignment horizontal="center" vertical="center"/>
      <protection locked="0"/>
    </xf>
    <xf numFmtId="0" fontId="50" fillId="25" borderId="24" xfId="0" applyFont="1" applyFill="1" applyBorder="1" applyAlignment="1" applyProtection="1">
      <alignment horizontal="center" vertical="center"/>
      <protection locked="0"/>
    </xf>
    <xf numFmtId="0" fontId="50" fillId="25" borderId="16" xfId="0" applyFont="1" applyFill="1" applyBorder="1" applyAlignment="1" applyProtection="1">
      <alignment horizontal="center" vertical="center"/>
      <protection locked="0"/>
    </xf>
    <xf numFmtId="0" fontId="50" fillId="25" borderId="11" xfId="0" applyFont="1" applyFill="1" applyBorder="1" applyAlignment="1" applyProtection="1">
      <alignment horizontal="center" vertical="center"/>
      <protection locked="0"/>
    </xf>
    <xf numFmtId="0" fontId="50" fillId="25" borderId="12" xfId="0" applyFont="1" applyFill="1" applyBorder="1" applyAlignment="1" applyProtection="1">
      <alignment horizontal="center" vertical="center"/>
      <protection locked="0"/>
    </xf>
    <xf numFmtId="0" fontId="0" fillId="25" borderId="11" xfId="0" applyFill="1" applyBorder="1" applyAlignment="1" applyProtection="1">
      <alignment horizontal="left" shrinkToFit="1"/>
      <protection locked="0"/>
    </xf>
    <xf numFmtId="0" fontId="49" fillId="25" borderId="11" xfId="0" applyFont="1" applyFill="1" applyBorder="1" applyAlignment="1" applyProtection="1">
      <alignment horizontal="left" shrinkToFit="1"/>
      <protection locked="0"/>
    </xf>
    <xf numFmtId="0" fontId="49" fillId="25" borderId="0" xfId="0" applyFont="1" applyFill="1" applyAlignment="1" applyProtection="1">
      <alignment horizontal="left" shrinkToFit="1"/>
      <protection locked="0"/>
    </xf>
    <xf numFmtId="0" fontId="47" fillId="0" borderId="11" xfId="0" applyFont="1" applyBorder="1" applyAlignment="1">
      <alignment horizontal="distributed" vertical="center" wrapText="1"/>
    </xf>
    <xf numFmtId="0" fontId="47" fillId="0" borderId="11" xfId="0" applyFont="1" applyBorder="1" applyAlignment="1">
      <alignment horizontal="distributed" vertical="center"/>
    </xf>
    <xf numFmtId="0" fontId="47" fillId="0" borderId="12" xfId="0" applyFont="1" applyBorder="1" applyAlignment="1">
      <alignment horizontal="distributed" vertical="center"/>
    </xf>
    <xf numFmtId="0" fontId="50" fillId="25" borderId="18" xfId="0" applyFont="1" applyFill="1" applyBorder="1" applyAlignment="1" applyProtection="1">
      <alignment horizontal="center" vertical="center"/>
      <protection locked="0"/>
    </xf>
    <xf numFmtId="0" fontId="50" fillId="25" borderId="21" xfId="0" applyFont="1" applyFill="1" applyBorder="1" applyAlignment="1" applyProtection="1">
      <alignment horizontal="center" vertical="center"/>
      <protection locked="0"/>
    </xf>
    <xf numFmtId="176" fontId="50" fillId="0" borderId="0" xfId="0" applyNumberFormat="1" applyFont="1" applyAlignment="1">
      <alignment horizontal="right" shrinkToFit="1"/>
    </xf>
    <xf numFmtId="0" fontId="45" fillId="0" borderId="45" xfId="0" applyFont="1" applyBorder="1" applyAlignment="1">
      <alignment horizontal="left" vertical="center" wrapText="1"/>
    </xf>
    <xf numFmtId="0" fontId="48" fillId="0" borderId="17" xfId="0" applyFont="1" applyBorder="1" applyAlignment="1">
      <alignment horizontal="center" vertical="center"/>
    </xf>
    <xf numFmtId="0" fontId="48" fillId="0" borderId="0" xfId="0" applyFont="1" applyAlignment="1">
      <alignment horizontal="right"/>
    </xf>
    <xf numFmtId="0" fontId="47" fillId="0" borderId="47" xfId="0" applyFont="1" applyBorder="1" applyAlignment="1">
      <alignment horizontal="distributed" vertical="center"/>
    </xf>
    <xf numFmtId="0" fontId="49" fillId="0" borderId="47" xfId="0" applyFont="1" applyBorder="1"/>
    <xf numFmtId="0" fontId="49" fillId="0" borderId="0" xfId="0" applyFont="1"/>
    <xf numFmtId="0" fontId="48" fillId="0" borderId="14" xfId="0" applyFont="1" applyBorder="1" applyAlignment="1">
      <alignment horizontal="right" vertical="distributed" textRotation="255" wrapText="1"/>
    </xf>
    <xf numFmtId="0" fontId="49" fillId="0" borderId="14" xfId="0" applyFont="1" applyBorder="1"/>
    <xf numFmtId="0" fontId="48" fillId="0" borderId="0" xfId="0" applyFont="1" applyAlignment="1">
      <alignment horizontal="left" vertical="distributed" textRotation="255" wrapText="1"/>
    </xf>
    <xf numFmtId="0" fontId="48" fillId="0" borderId="13" xfId="0" applyFont="1" applyBorder="1" applyAlignment="1">
      <alignment horizontal="left" vertical="distributed" textRotation="255" wrapText="1"/>
    </xf>
    <xf numFmtId="0" fontId="47" fillId="25" borderId="0" xfId="0" applyFont="1" applyFill="1" applyAlignment="1" applyProtection="1">
      <alignment horizontal="center" shrinkToFit="1"/>
      <protection locked="0"/>
    </xf>
    <xf numFmtId="0" fontId="47" fillId="25" borderId="45" xfId="0" applyFont="1" applyFill="1" applyBorder="1" applyAlignment="1" applyProtection="1">
      <alignment horizontal="center" shrinkToFit="1"/>
      <protection locked="0"/>
    </xf>
    <xf numFmtId="0" fontId="47" fillId="25" borderId="12" xfId="0" applyFont="1" applyFill="1" applyBorder="1" applyAlignment="1" applyProtection="1">
      <alignment horizontal="center" shrinkToFit="1"/>
      <protection locked="0"/>
    </xf>
    <xf numFmtId="0" fontId="47" fillId="25" borderId="51" xfId="0" applyFont="1" applyFill="1" applyBorder="1" applyAlignment="1" applyProtection="1">
      <alignment horizontal="center" shrinkToFit="1"/>
      <protection locked="0"/>
    </xf>
    <xf numFmtId="0" fontId="47" fillId="0" borderId="11" xfId="0" applyFont="1" applyBorder="1" applyAlignment="1">
      <alignment horizontal="distributed"/>
    </xf>
    <xf numFmtId="0" fontId="47" fillId="0" borderId="0" xfId="0" applyFont="1" applyAlignment="1">
      <alignment horizontal="distributed"/>
    </xf>
    <xf numFmtId="0" fontId="5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27" fillId="0" borderId="20" xfId="0" applyFont="1" applyBorder="1" applyAlignment="1">
      <alignment horizontal="left"/>
    </xf>
    <xf numFmtId="0" fontId="27" fillId="0" borderId="12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183" fontId="27" fillId="0" borderId="20" xfId="0" applyNumberFormat="1" applyFont="1" applyBorder="1" applyAlignment="1">
      <alignment horizontal="left"/>
    </xf>
    <xf numFmtId="183" fontId="27" fillId="0" borderId="12" xfId="0" applyNumberFormat="1" applyFont="1" applyBorder="1" applyAlignment="1">
      <alignment horizontal="left"/>
    </xf>
    <xf numFmtId="183" fontId="27" fillId="0" borderId="21" xfId="0" applyNumberFormat="1" applyFont="1" applyBorder="1" applyAlignment="1">
      <alignment horizontal="left"/>
    </xf>
    <xf numFmtId="183" fontId="27" fillId="0" borderId="0" xfId="0" applyNumberFormat="1" applyFont="1" applyAlignment="1">
      <alignment horizontal="right" vertical="center" shrinkToFit="1"/>
    </xf>
    <xf numFmtId="183" fontId="27" fillId="0" borderId="16" xfId="0" applyNumberFormat="1" applyFont="1" applyBorder="1" applyAlignment="1">
      <alignment horizontal="left"/>
    </xf>
    <xf numFmtId="0" fontId="27" fillId="0" borderId="21" xfId="0" applyFont="1" applyBorder="1" applyAlignment="1">
      <alignment horizontal="left"/>
    </xf>
    <xf numFmtId="0" fontId="7" fillId="0" borderId="10" xfId="0" applyFont="1" applyBorder="1" applyAlignment="1">
      <alignment horizontal="left" vertical="center" shrinkToFit="1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185" fontId="37" fillId="25" borderId="67" xfId="0" applyNumberFormat="1" applyFont="1" applyFill="1" applyBorder="1" applyAlignment="1" applyProtection="1">
      <alignment horizontal="right" vertical="center" shrinkToFit="1"/>
      <protection locked="0"/>
    </xf>
    <xf numFmtId="185" fontId="37" fillId="25" borderId="38" xfId="0" applyNumberFormat="1" applyFont="1" applyFill="1" applyBorder="1" applyAlignment="1" applyProtection="1">
      <alignment horizontal="right" vertical="center" shrinkToFit="1"/>
      <protection locked="0"/>
    </xf>
    <xf numFmtId="185" fontId="37" fillId="25" borderId="63" xfId="0" applyNumberFormat="1" applyFont="1" applyFill="1" applyBorder="1" applyAlignment="1" applyProtection="1">
      <alignment horizontal="right" vertical="center" shrinkToFit="1"/>
      <protection locked="0"/>
    </xf>
    <xf numFmtId="0" fontId="39" fillId="0" borderId="63" xfId="0" applyFont="1" applyBorder="1" applyAlignment="1">
      <alignment horizontal="distributed" vertical="center" wrapText="1"/>
    </xf>
    <xf numFmtId="0" fontId="39" fillId="0" borderId="80" xfId="0" applyFont="1" applyBorder="1" applyAlignment="1">
      <alignment horizontal="distributed" vertical="center" wrapText="1"/>
    </xf>
    <xf numFmtId="0" fontId="38" fillId="0" borderId="67" xfId="0" applyFont="1" applyBorder="1" applyAlignment="1">
      <alignment horizontal="distributed"/>
    </xf>
    <xf numFmtId="0" fontId="39" fillId="0" borderId="38" xfId="0" applyFont="1" applyBorder="1" applyAlignment="1">
      <alignment horizontal="distributed" vertical="center" wrapText="1"/>
    </xf>
    <xf numFmtId="0" fontId="42" fillId="0" borderId="38" xfId="0" applyFont="1" applyBorder="1" applyAlignment="1">
      <alignment horizontal="distributed"/>
    </xf>
    <xf numFmtId="0" fontId="39" fillId="0" borderId="15" xfId="0" applyFont="1" applyBorder="1" applyAlignment="1">
      <alignment horizontal="distributed" vertical="center" wrapText="1"/>
    </xf>
    <xf numFmtId="0" fontId="39" fillId="0" borderId="75" xfId="0" applyFont="1" applyBorder="1" applyAlignment="1">
      <alignment horizontal="distributed" vertical="center" wrapText="1"/>
    </xf>
    <xf numFmtId="0" fontId="38" fillId="0" borderId="17" xfId="0" applyFont="1" applyBorder="1" applyAlignment="1">
      <alignment horizontal="distributed"/>
    </xf>
    <xf numFmtId="181" fontId="37" fillId="25" borderId="67" xfId="0" applyNumberFormat="1" applyFont="1" applyFill="1" applyBorder="1" applyAlignment="1" applyProtection="1">
      <alignment horizontal="right" vertical="center" shrinkToFit="1"/>
      <protection locked="0"/>
    </xf>
    <xf numFmtId="181" fontId="37" fillId="25" borderId="38" xfId="0" applyNumberFormat="1" applyFont="1" applyFill="1" applyBorder="1" applyAlignment="1" applyProtection="1">
      <alignment horizontal="right" vertical="center" shrinkToFit="1"/>
      <protection locked="0"/>
    </xf>
    <xf numFmtId="181" fontId="37" fillId="25" borderId="63" xfId="0" applyNumberFormat="1" applyFont="1" applyFill="1" applyBorder="1" applyAlignment="1" applyProtection="1">
      <alignment horizontal="right" vertical="center" shrinkToFit="1"/>
      <protection locked="0"/>
    </xf>
    <xf numFmtId="183" fontId="37" fillId="0" borderId="72" xfId="0" applyNumberFormat="1" applyFont="1" applyBorder="1" applyAlignment="1">
      <alignment horizontal="right" vertical="center" shrinkToFit="1"/>
    </xf>
    <xf numFmtId="183" fontId="37" fillId="0" borderId="73" xfId="0" applyNumberFormat="1" applyFont="1" applyBorder="1" applyAlignment="1">
      <alignment horizontal="right" vertical="center" shrinkToFit="1"/>
    </xf>
    <xf numFmtId="183" fontId="37" fillId="0" borderId="74" xfId="0" applyNumberFormat="1" applyFont="1" applyBorder="1" applyAlignment="1">
      <alignment horizontal="right" vertical="center" shrinkToFit="1"/>
    </xf>
    <xf numFmtId="0" fontId="43" fillId="0" borderId="77" xfId="0" applyFont="1" applyBorder="1"/>
    <xf numFmtId="0" fontId="44" fillId="0" borderId="78" xfId="0" applyFont="1" applyBorder="1"/>
    <xf numFmtId="0" fontId="44" fillId="0" borderId="79" xfId="0" applyFont="1" applyBorder="1"/>
    <xf numFmtId="2" fontId="35" fillId="0" borderId="67" xfId="0" applyNumberFormat="1" applyFont="1" applyBorder="1" applyAlignment="1">
      <alignment horizontal="center" vertical="center"/>
    </xf>
    <xf numFmtId="2" fontId="41" fillId="0" borderId="38" xfId="0" applyNumberFormat="1" applyFont="1" applyBorder="1" applyAlignment="1">
      <alignment horizontal="center" vertical="center"/>
    </xf>
    <xf numFmtId="2" fontId="41" fillId="0" borderId="63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>
      <alignment horizontal="center" vertical="center"/>
    </xf>
    <xf numFmtId="2" fontId="41" fillId="0" borderId="15" xfId="0" applyNumberFormat="1" applyFont="1" applyBorder="1" applyAlignment="1">
      <alignment horizontal="center" vertical="center"/>
    </xf>
    <xf numFmtId="184" fontId="34" fillId="0" borderId="71" xfId="0" applyNumberFormat="1" applyFont="1" applyBorder="1" applyAlignment="1">
      <alignment horizontal="right" vertical="center" shrinkToFit="1"/>
    </xf>
    <xf numFmtId="184" fontId="34" fillId="0" borderId="40" xfId="0" applyNumberFormat="1" applyFont="1" applyBorder="1" applyAlignment="1">
      <alignment horizontal="right" vertical="center" shrinkToFit="1"/>
    </xf>
    <xf numFmtId="184" fontId="34" fillId="0" borderId="69" xfId="0" applyNumberFormat="1" applyFont="1" applyBorder="1" applyAlignment="1">
      <alignment horizontal="right" vertical="center" shrinkToFit="1"/>
    </xf>
    <xf numFmtId="0" fontId="36" fillId="0" borderId="69" xfId="0" applyFont="1" applyBorder="1" applyAlignment="1">
      <alignment horizontal="center" vertical="center"/>
    </xf>
    <xf numFmtId="0" fontId="36" fillId="0" borderId="70" xfId="0" applyFont="1" applyBorder="1" applyAlignment="1">
      <alignment horizontal="center" vertical="center"/>
    </xf>
    <xf numFmtId="0" fontId="38" fillId="0" borderId="71" xfId="0" applyFont="1" applyBorder="1"/>
    <xf numFmtId="181" fontId="37" fillId="0" borderId="72" xfId="0" applyNumberFormat="1" applyFont="1" applyBorder="1" applyAlignment="1">
      <alignment horizontal="right" vertical="center" shrinkToFit="1"/>
    </xf>
    <xf numFmtId="181" fontId="37" fillId="0" borderId="73" xfId="0" applyNumberFormat="1" applyFont="1" applyBorder="1" applyAlignment="1">
      <alignment horizontal="right" vertical="center" shrinkToFit="1"/>
    </xf>
    <xf numFmtId="181" fontId="37" fillId="0" borderId="76" xfId="0" applyNumberFormat="1" applyFont="1" applyBorder="1" applyAlignment="1">
      <alignment horizontal="right" vertical="center" shrinkToFit="1"/>
    </xf>
    <xf numFmtId="183" fontId="37" fillId="0" borderId="67" xfId="0" applyNumberFormat="1" applyFont="1" applyBorder="1" applyAlignment="1">
      <alignment horizontal="right" vertical="center" shrinkToFit="1"/>
    </xf>
    <xf numFmtId="183" fontId="40" fillId="0" borderId="38" xfId="0" applyNumberFormat="1" applyFont="1" applyBorder="1" applyAlignment="1">
      <alignment horizontal="right" vertical="center" shrinkToFit="1"/>
    </xf>
    <xf numFmtId="183" fontId="40" fillId="0" borderId="63" xfId="0" applyNumberFormat="1" applyFont="1" applyBorder="1" applyAlignment="1">
      <alignment horizontal="right" vertical="center" shrinkToFit="1"/>
    </xf>
    <xf numFmtId="183" fontId="37" fillId="0" borderId="76" xfId="0" applyNumberFormat="1" applyFont="1" applyBorder="1" applyAlignment="1">
      <alignment horizontal="right" vertical="center" shrinkToFit="1"/>
    </xf>
    <xf numFmtId="183" fontId="40" fillId="0" borderId="68" xfId="0" applyNumberFormat="1" applyFont="1" applyBorder="1" applyAlignment="1">
      <alignment horizontal="right" vertical="center" shrinkToFit="1"/>
    </xf>
    <xf numFmtId="181" fontId="37" fillId="25" borderId="17" xfId="0" applyNumberFormat="1" applyFont="1" applyFill="1" applyBorder="1" applyAlignment="1" applyProtection="1">
      <alignment horizontal="right" vertical="center" shrinkToFit="1"/>
      <protection locked="0"/>
    </xf>
    <xf numFmtId="181" fontId="37" fillId="25" borderId="11" xfId="0" applyNumberFormat="1" applyFont="1" applyFill="1" applyBorder="1" applyAlignment="1" applyProtection="1">
      <alignment horizontal="right" vertical="center" shrinkToFit="1"/>
      <protection locked="0"/>
    </xf>
    <xf numFmtId="181" fontId="37" fillId="25" borderId="15" xfId="0" applyNumberFormat="1" applyFont="1" applyFill="1" applyBorder="1" applyAlignment="1" applyProtection="1">
      <alignment horizontal="right" vertical="center" shrinkToFit="1"/>
      <protection locked="0"/>
    </xf>
    <xf numFmtId="0" fontId="42" fillId="0" borderId="67" xfId="0" applyFont="1" applyBorder="1" applyAlignment="1">
      <alignment horizontal="distributed"/>
    </xf>
    <xf numFmtId="0" fontId="39" fillId="0" borderId="2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67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9" fillId="0" borderId="6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5" fillId="0" borderId="81" xfId="0" applyFont="1" applyBorder="1" applyAlignment="1">
      <alignment horizontal="center" vertical="center"/>
    </xf>
    <xf numFmtId="0" fontId="34" fillId="0" borderId="80" xfId="0" applyFont="1" applyBorder="1"/>
    <xf numFmtId="0" fontId="38" fillId="0" borderId="67" xfId="0" applyFont="1" applyBorder="1"/>
    <xf numFmtId="0" fontId="34" fillId="0" borderId="81" xfId="0" applyFont="1" applyBorder="1"/>
    <xf numFmtId="0" fontId="34" fillId="0" borderId="10" xfId="0" applyFont="1" applyBorder="1" applyAlignment="1">
      <alignment horizontal="center" shrinkToFit="1"/>
    </xf>
    <xf numFmtId="0" fontId="36" fillId="0" borderId="10" xfId="0" applyFont="1" applyBorder="1" applyAlignment="1">
      <alignment horizontal="center" shrinkToFit="1"/>
    </xf>
    <xf numFmtId="0" fontId="36" fillId="0" borderId="1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8" fillId="0" borderId="11" xfId="0" applyFont="1" applyBorder="1"/>
    <xf numFmtId="0" fontId="38" fillId="0" borderId="15" xfId="0" applyFont="1" applyBorder="1"/>
    <xf numFmtId="0" fontId="35" fillId="0" borderId="1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37" fillId="0" borderId="83" xfId="0" applyFont="1" applyBorder="1"/>
    <xf numFmtId="0" fontId="37" fillId="0" borderId="84" xfId="0" applyFont="1" applyBorder="1"/>
    <xf numFmtId="0" fontId="34" fillId="0" borderId="85" xfId="0" applyFont="1" applyBorder="1" applyAlignment="1">
      <alignment horizontal="center" vertical="center"/>
    </xf>
    <xf numFmtId="0" fontId="34" fillId="0" borderId="8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8" fillId="0" borderId="14" xfId="0" applyFont="1" applyBorder="1"/>
    <xf numFmtId="0" fontId="38" fillId="0" borderId="0" xfId="0" applyFont="1"/>
    <xf numFmtId="0" fontId="38" fillId="0" borderId="13" xfId="0" applyFont="1" applyBorder="1"/>
    <xf numFmtId="181" fontId="40" fillId="25" borderId="38" xfId="0" applyNumberFormat="1" applyFont="1" applyFill="1" applyBorder="1" applyAlignment="1" applyProtection="1">
      <alignment horizontal="right" vertical="center" shrinkToFit="1"/>
      <protection locked="0"/>
    </xf>
    <xf numFmtId="181" fontId="40" fillId="25" borderId="63" xfId="0" applyNumberFormat="1" applyFont="1" applyFill="1" applyBorder="1" applyAlignment="1" applyProtection="1">
      <alignment horizontal="right" vertical="center" shrinkToFit="1"/>
      <protection locked="0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2" xfId="42" xr:uid="{00000000-0005-0000-0000-00002A000000}"/>
    <cellStyle name="標準_コピー申告書" xfId="43" xr:uid="{00000000-0005-0000-0000-00002B000000}"/>
    <cellStyle name="良い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14</xdr:col>
      <xdr:colOff>76200</xdr:colOff>
      <xdr:row>0</xdr:row>
      <xdr:rowOff>0</xdr:rowOff>
    </xdr:to>
    <xdr:sp macro="" textlink="">
      <xdr:nvSpPr>
        <xdr:cNvPr id="18491" name="Oval 1">
          <a:extLst>
            <a:ext uri="{FF2B5EF4-FFF2-40B4-BE49-F238E27FC236}">
              <a16:creationId xmlns:a16="http://schemas.microsoft.com/office/drawing/2014/main" id="{00000000-0008-0000-0100-00003B480000}"/>
            </a:ext>
          </a:extLst>
        </xdr:cNvPr>
        <xdr:cNvSpPr>
          <a:spLocks noChangeArrowheads="1"/>
        </xdr:cNvSpPr>
      </xdr:nvSpPr>
      <xdr:spPr bwMode="auto">
        <a:xfrm>
          <a:off x="419100" y="0"/>
          <a:ext cx="142875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85725</xdr:colOff>
      <xdr:row>2</xdr:row>
      <xdr:rowOff>161925</xdr:rowOff>
    </xdr:from>
    <xdr:to>
      <xdr:col>11</xdr:col>
      <xdr:colOff>76200</xdr:colOff>
      <xdr:row>10</xdr:row>
      <xdr:rowOff>47625</xdr:rowOff>
    </xdr:to>
    <xdr:sp macro="" textlink="">
      <xdr:nvSpPr>
        <xdr:cNvPr id="18492" name="Oval 11">
          <a:extLst>
            <a:ext uri="{FF2B5EF4-FFF2-40B4-BE49-F238E27FC236}">
              <a16:creationId xmlns:a16="http://schemas.microsoft.com/office/drawing/2014/main" id="{00000000-0008-0000-0100-00003C480000}"/>
            </a:ext>
          </a:extLst>
        </xdr:cNvPr>
        <xdr:cNvSpPr>
          <a:spLocks noChangeArrowheads="1"/>
        </xdr:cNvSpPr>
      </xdr:nvSpPr>
      <xdr:spPr bwMode="auto">
        <a:xfrm>
          <a:off x="495300" y="390525"/>
          <a:ext cx="981075" cy="971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oneCellAnchor>
    <xdr:from>
      <xdr:col>71</xdr:col>
      <xdr:colOff>28396</xdr:colOff>
      <xdr:row>43</xdr:row>
      <xdr:rowOff>138315</xdr:rowOff>
    </xdr:from>
    <xdr:ext cx="181332" cy="220317"/>
    <xdr:sp macro="" textlink="">
      <xdr:nvSpPr>
        <xdr:cNvPr id="5136" name="Rectangle 16">
          <a:extLst>
            <a:ext uri="{FF2B5EF4-FFF2-40B4-BE49-F238E27FC236}">
              <a16:creationId xmlns:a16="http://schemas.microsoft.com/office/drawing/2014/main" id="{00000000-0008-0000-0100-000010140000}"/>
            </a:ext>
          </a:extLst>
        </xdr:cNvPr>
        <xdr:cNvSpPr>
          <a:spLocks noChangeArrowheads="1"/>
        </xdr:cNvSpPr>
      </xdr:nvSpPr>
      <xdr:spPr bwMode="auto">
        <a:xfrm>
          <a:off x="7124521" y="6634365"/>
          <a:ext cx="181332" cy="220317"/>
        </a:xfrm>
        <a:prstGeom prst="rect">
          <a:avLst/>
        </a:prstGeom>
        <a:noFill/>
        <a:ln>
          <a:noFill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ﾄﾝ</a:t>
          </a:r>
        </a:p>
      </xdr:txBody>
    </xdr:sp>
    <xdr:clientData/>
  </xdr:oneCellAnchor>
  <xdr:oneCellAnchor>
    <xdr:from>
      <xdr:col>71</xdr:col>
      <xdr:colOff>76200</xdr:colOff>
      <xdr:row>47</xdr:row>
      <xdr:rowOff>219075</xdr:rowOff>
    </xdr:from>
    <xdr:ext cx="142875" cy="171450"/>
    <xdr:sp macro="" textlink="">
      <xdr:nvSpPr>
        <xdr:cNvPr id="5137" name="Rectangle 17">
          <a:extLst>
            <a:ext uri="{FF2B5EF4-FFF2-40B4-BE49-F238E27FC236}">
              <a16:creationId xmlns:a16="http://schemas.microsoft.com/office/drawing/2014/main" id="{00000000-0008-0000-0100-000011140000}"/>
            </a:ext>
          </a:extLst>
        </xdr:cNvPr>
        <xdr:cNvSpPr>
          <a:spLocks noChangeArrowheads="1"/>
        </xdr:cNvSpPr>
      </xdr:nvSpPr>
      <xdr:spPr bwMode="auto">
        <a:xfrm>
          <a:off x="6677025" y="7115175"/>
          <a:ext cx="180975" cy="171450"/>
        </a:xfrm>
        <a:prstGeom prst="rect">
          <a:avLst/>
        </a:prstGeom>
        <a:noFill/>
        <a:ln>
          <a:noFill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円</a:t>
          </a:r>
        </a:p>
      </xdr:txBody>
    </xdr:sp>
    <xdr:clientData/>
  </xdr:oneCellAnchor>
  <xdr:twoCellAnchor>
    <xdr:from>
      <xdr:col>17</xdr:col>
      <xdr:colOff>95250</xdr:colOff>
      <xdr:row>40</xdr:row>
      <xdr:rowOff>19050</xdr:rowOff>
    </xdr:from>
    <xdr:to>
      <xdr:col>33</xdr:col>
      <xdr:colOff>47625</xdr:colOff>
      <xdr:row>41</xdr:row>
      <xdr:rowOff>200025</xdr:rowOff>
    </xdr:to>
    <xdr:sp macro="" textlink="">
      <xdr:nvSpPr>
        <xdr:cNvPr id="18495" name="Oval 21">
          <a:extLst>
            <a:ext uri="{FF2B5EF4-FFF2-40B4-BE49-F238E27FC236}">
              <a16:creationId xmlns:a16="http://schemas.microsoft.com/office/drawing/2014/main" id="{00000000-0008-0000-0100-00003F480000}"/>
            </a:ext>
          </a:extLst>
        </xdr:cNvPr>
        <xdr:cNvSpPr>
          <a:spLocks noChangeArrowheads="1"/>
        </xdr:cNvSpPr>
      </xdr:nvSpPr>
      <xdr:spPr bwMode="auto">
        <a:xfrm>
          <a:off x="2238375" y="5829300"/>
          <a:ext cx="1066800" cy="4095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9525</xdr:colOff>
      <xdr:row>40</xdr:row>
      <xdr:rowOff>19050</xdr:rowOff>
    </xdr:from>
    <xdr:to>
      <xdr:col>52</xdr:col>
      <xdr:colOff>85725</xdr:colOff>
      <xdr:row>41</xdr:row>
      <xdr:rowOff>200025</xdr:rowOff>
    </xdr:to>
    <xdr:sp macro="" textlink="">
      <xdr:nvSpPr>
        <xdr:cNvPr id="18496" name="Oval 22">
          <a:extLst>
            <a:ext uri="{FF2B5EF4-FFF2-40B4-BE49-F238E27FC236}">
              <a16:creationId xmlns:a16="http://schemas.microsoft.com/office/drawing/2014/main" id="{00000000-0008-0000-0100-000040480000}"/>
            </a:ext>
          </a:extLst>
        </xdr:cNvPr>
        <xdr:cNvSpPr>
          <a:spLocks noChangeArrowheads="1"/>
        </xdr:cNvSpPr>
      </xdr:nvSpPr>
      <xdr:spPr bwMode="auto">
        <a:xfrm>
          <a:off x="3638550" y="5829300"/>
          <a:ext cx="1190625" cy="4095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13387</xdr:colOff>
      <xdr:row>10</xdr:row>
      <xdr:rowOff>813</xdr:rowOff>
    </xdr:from>
    <xdr:ext cx="181332" cy="220317"/>
    <xdr:sp macro="" textlink="">
      <xdr:nvSpPr>
        <xdr:cNvPr id="8193" name="Rectangle 1">
          <a:extLst>
            <a:ext uri="{FF2B5EF4-FFF2-40B4-BE49-F238E27FC236}">
              <a16:creationId xmlns:a16="http://schemas.microsoft.com/office/drawing/2014/main" id="{00000000-0008-0000-0200-000001200000}"/>
            </a:ext>
          </a:extLst>
        </xdr:cNvPr>
        <xdr:cNvSpPr>
          <a:spLocks noChangeArrowheads="1"/>
        </xdr:cNvSpPr>
      </xdr:nvSpPr>
      <xdr:spPr bwMode="auto">
        <a:xfrm>
          <a:off x="2653173" y="2409277"/>
          <a:ext cx="181332" cy="220317"/>
        </a:xfrm>
        <a:prstGeom prst="rect">
          <a:avLst/>
        </a:prstGeom>
        <a:noFill/>
        <a:ln>
          <a:noFill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ﾄﾝ</a:t>
          </a:r>
        </a:p>
      </xdr:txBody>
    </xdr:sp>
    <xdr:clientData/>
  </xdr:oneCellAnchor>
  <xdr:oneCellAnchor>
    <xdr:from>
      <xdr:col>52</xdr:col>
      <xdr:colOff>13387</xdr:colOff>
      <xdr:row>10</xdr:row>
      <xdr:rowOff>813</xdr:rowOff>
    </xdr:from>
    <xdr:ext cx="181332" cy="220317"/>
    <xdr:sp macro="" textlink="">
      <xdr:nvSpPr>
        <xdr:cNvPr id="8194" name="Rectangle 2">
          <a:extLst>
            <a:ext uri="{FF2B5EF4-FFF2-40B4-BE49-F238E27FC236}">
              <a16:creationId xmlns:a16="http://schemas.microsoft.com/office/drawing/2014/main" id="{00000000-0008-0000-0200-000002200000}"/>
            </a:ext>
          </a:extLst>
        </xdr:cNvPr>
        <xdr:cNvSpPr>
          <a:spLocks noChangeArrowheads="1"/>
        </xdr:cNvSpPr>
      </xdr:nvSpPr>
      <xdr:spPr bwMode="auto">
        <a:xfrm>
          <a:off x="4367673" y="2409277"/>
          <a:ext cx="181332" cy="220317"/>
        </a:xfrm>
        <a:prstGeom prst="rect">
          <a:avLst/>
        </a:prstGeom>
        <a:noFill/>
        <a:ln>
          <a:noFill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ﾄﾝ</a:t>
          </a:r>
        </a:p>
      </xdr:txBody>
    </xdr:sp>
    <xdr:clientData/>
  </xdr:oneCellAnchor>
  <xdr:oneCellAnchor>
    <xdr:from>
      <xdr:col>73</xdr:col>
      <xdr:colOff>13387</xdr:colOff>
      <xdr:row>10</xdr:row>
      <xdr:rowOff>813</xdr:rowOff>
    </xdr:from>
    <xdr:ext cx="181332" cy="220317"/>
    <xdr:sp macro="" textlink="">
      <xdr:nvSpPr>
        <xdr:cNvPr id="8195" name="Rectangle 3">
          <a:extLst>
            <a:ext uri="{FF2B5EF4-FFF2-40B4-BE49-F238E27FC236}">
              <a16:creationId xmlns:a16="http://schemas.microsoft.com/office/drawing/2014/main" id="{00000000-0008-0000-0200-000003200000}"/>
            </a:ext>
          </a:extLst>
        </xdr:cNvPr>
        <xdr:cNvSpPr>
          <a:spLocks noChangeArrowheads="1"/>
        </xdr:cNvSpPr>
      </xdr:nvSpPr>
      <xdr:spPr bwMode="auto">
        <a:xfrm>
          <a:off x="6082173" y="2409277"/>
          <a:ext cx="181332" cy="220317"/>
        </a:xfrm>
        <a:prstGeom prst="rect">
          <a:avLst/>
        </a:prstGeom>
        <a:noFill/>
        <a:ln>
          <a:noFill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ﾄﾝ</a:t>
          </a:r>
        </a:p>
      </xdr:txBody>
    </xdr:sp>
    <xdr:clientData/>
  </xdr:oneCellAnchor>
  <xdr:oneCellAnchor>
    <xdr:from>
      <xdr:col>16</xdr:col>
      <xdr:colOff>2839</xdr:colOff>
      <xdr:row>23</xdr:row>
      <xdr:rowOff>6526</xdr:rowOff>
    </xdr:from>
    <xdr:ext cx="1165897" cy="186974"/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000000-0008-0000-0200-000007200000}"/>
            </a:ext>
          </a:extLst>
        </xdr:cNvPr>
        <xdr:cNvSpPr>
          <a:spLocks noChangeArrowheads="1"/>
        </xdr:cNvSpPr>
      </xdr:nvSpPr>
      <xdr:spPr bwMode="auto">
        <a:xfrm>
          <a:off x="1417982" y="4741812"/>
          <a:ext cx="1165897" cy="186974"/>
        </a:xfrm>
        <a:prstGeom prst="rect">
          <a:avLst/>
        </a:prstGeom>
        <a:noFill/>
        <a:ln>
          <a:noFill/>
        </a:ln>
      </xdr:spPr>
      <xdr:txBody>
        <a:bodyPr wrap="none" lIns="9144" tIns="18288" rIns="9144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（申告書の①欄に転記）</a:t>
          </a:r>
        </a:p>
      </xdr:txBody>
    </xdr:sp>
    <xdr:clientData/>
  </xdr:oneCellAnchor>
  <xdr:oneCellAnchor>
    <xdr:from>
      <xdr:col>37</xdr:col>
      <xdr:colOff>57948</xdr:colOff>
      <xdr:row>23</xdr:row>
      <xdr:rowOff>6526</xdr:rowOff>
    </xdr:from>
    <xdr:ext cx="1165897" cy="186974"/>
    <xdr:sp macro="" textlink="">
      <xdr:nvSpPr>
        <xdr:cNvPr id="8201" name="Rectangle 9">
          <a:extLst>
            <a:ext uri="{FF2B5EF4-FFF2-40B4-BE49-F238E27FC236}">
              <a16:creationId xmlns:a16="http://schemas.microsoft.com/office/drawing/2014/main" id="{00000000-0008-0000-0200-000009200000}"/>
            </a:ext>
          </a:extLst>
        </xdr:cNvPr>
        <xdr:cNvSpPr>
          <a:spLocks noChangeArrowheads="1"/>
        </xdr:cNvSpPr>
      </xdr:nvSpPr>
      <xdr:spPr bwMode="auto">
        <a:xfrm>
          <a:off x="3187591" y="4741812"/>
          <a:ext cx="1165897" cy="186974"/>
        </a:xfrm>
        <a:prstGeom prst="rect">
          <a:avLst/>
        </a:prstGeom>
        <a:noFill/>
        <a:ln>
          <a:noFill/>
        </a:ln>
      </xdr:spPr>
      <xdr:txBody>
        <a:bodyPr wrap="none" lIns="9144" tIns="18288" rIns="9144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（申告書の②欄に転記）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114300</xdr:colOff>
      <xdr:row>5</xdr:row>
      <xdr:rowOff>38100</xdr:rowOff>
    </xdr:from>
    <xdr:to>
      <xdr:col>45</xdr:col>
      <xdr:colOff>47625</xdr:colOff>
      <xdr:row>6</xdr:row>
      <xdr:rowOff>161925</xdr:rowOff>
    </xdr:to>
    <xdr:sp macro="" textlink="">
      <xdr:nvSpPr>
        <xdr:cNvPr id="9745" name="Oval 1">
          <a:extLst>
            <a:ext uri="{FF2B5EF4-FFF2-40B4-BE49-F238E27FC236}">
              <a16:creationId xmlns:a16="http://schemas.microsoft.com/office/drawing/2014/main" id="{00000000-0008-0000-0300-000011260000}"/>
            </a:ext>
          </a:extLst>
        </xdr:cNvPr>
        <xdr:cNvSpPr>
          <a:spLocks noChangeArrowheads="1"/>
        </xdr:cNvSpPr>
      </xdr:nvSpPr>
      <xdr:spPr bwMode="auto">
        <a:xfrm>
          <a:off x="4619625" y="1152525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57150</xdr:colOff>
      <xdr:row>36</xdr:row>
      <xdr:rowOff>47625</xdr:rowOff>
    </xdr:from>
    <xdr:to>
      <xdr:col>44</xdr:col>
      <xdr:colOff>114300</xdr:colOff>
      <xdr:row>37</xdr:row>
      <xdr:rowOff>171450</xdr:rowOff>
    </xdr:to>
    <xdr:sp macro="" textlink="">
      <xdr:nvSpPr>
        <xdr:cNvPr id="9746" name="Oval 2">
          <a:extLst>
            <a:ext uri="{FF2B5EF4-FFF2-40B4-BE49-F238E27FC236}">
              <a16:creationId xmlns:a16="http://schemas.microsoft.com/office/drawing/2014/main" id="{00000000-0008-0000-0300-000012260000}"/>
            </a:ext>
          </a:extLst>
        </xdr:cNvPr>
        <xdr:cNvSpPr>
          <a:spLocks noChangeArrowheads="1"/>
        </xdr:cNvSpPr>
      </xdr:nvSpPr>
      <xdr:spPr bwMode="auto">
        <a:xfrm>
          <a:off x="4562475" y="11172825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57150</xdr:colOff>
      <xdr:row>67</xdr:row>
      <xdr:rowOff>47625</xdr:rowOff>
    </xdr:from>
    <xdr:to>
      <xdr:col>44</xdr:col>
      <xdr:colOff>114300</xdr:colOff>
      <xdr:row>68</xdr:row>
      <xdr:rowOff>171450</xdr:rowOff>
    </xdr:to>
    <xdr:sp macro="" textlink="">
      <xdr:nvSpPr>
        <xdr:cNvPr id="9747" name="Oval 3">
          <a:extLst>
            <a:ext uri="{FF2B5EF4-FFF2-40B4-BE49-F238E27FC236}">
              <a16:creationId xmlns:a16="http://schemas.microsoft.com/office/drawing/2014/main" id="{00000000-0008-0000-0300-000013260000}"/>
            </a:ext>
          </a:extLst>
        </xdr:cNvPr>
        <xdr:cNvSpPr>
          <a:spLocks noChangeArrowheads="1"/>
        </xdr:cNvSpPr>
      </xdr:nvSpPr>
      <xdr:spPr bwMode="auto">
        <a:xfrm>
          <a:off x="4562475" y="21183600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85725</xdr:colOff>
          <xdr:row>4</xdr:row>
          <xdr:rowOff>28575</xdr:rowOff>
        </xdr:from>
        <xdr:to>
          <xdr:col>52</xdr:col>
          <xdr:colOff>104775</xdr:colOff>
          <xdr:row>4</xdr:row>
          <xdr:rowOff>428625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3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データクリア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66675</xdr:colOff>
      <xdr:row>5</xdr:row>
      <xdr:rowOff>38100</xdr:rowOff>
    </xdr:from>
    <xdr:to>
      <xdr:col>53</xdr:col>
      <xdr:colOff>0</xdr:colOff>
      <xdr:row>6</xdr:row>
      <xdr:rowOff>161925</xdr:rowOff>
    </xdr:to>
    <xdr:sp macro="" textlink="">
      <xdr:nvSpPr>
        <xdr:cNvPr id="17921" name="Oval 1">
          <a:extLst>
            <a:ext uri="{FF2B5EF4-FFF2-40B4-BE49-F238E27FC236}">
              <a16:creationId xmlns:a16="http://schemas.microsoft.com/office/drawing/2014/main" id="{00000000-0008-0000-0400-000001460000}"/>
            </a:ext>
          </a:extLst>
        </xdr:cNvPr>
        <xdr:cNvSpPr>
          <a:spLocks noChangeArrowheads="1"/>
        </xdr:cNvSpPr>
      </xdr:nvSpPr>
      <xdr:spPr bwMode="auto">
        <a:xfrm>
          <a:off x="5562600" y="1152525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46</xdr:col>
      <xdr:colOff>57150</xdr:colOff>
      <xdr:row>36</xdr:row>
      <xdr:rowOff>47625</xdr:rowOff>
    </xdr:from>
    <xdr:to>
      <xdr:col>52</xdr:col>
      <xdr:colOff>114300</xdr:colOff>
      <xdr:row>37</xdr:row>
      <xdr:rowOff>171450</xdr:rowOff>
    </xdr:to>
    <xdr:sp macro="" textlink="">
      <xdr:nvSpPr>
        <xdr:cNvPr id="17922" name="Oval 2">
          <a:extLst>
            <a:ext uri="{FF2B5EF4-FFF2-40B4-BE49-F238E27FC236}">
              <a16:creationId xmlns:a16="http://schemas.microsoft.com/office/drawing/2014/main" id="{00000000-0008-0000-0400-000002460000}"/>
            </a:ext>
          </a:extLst>
        </xdr:cNvPr>
        <xdr:cNvSpPr>
          <a:spLocks noChangeArrowheads="1"/>
        </xdr:cNvSpPr>
      </xdr:nvSpPr>
      <xdr:spPr bwMode="auto">
        <a:xfrm>
          <a:off x="5553075" y="11172825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46</xdr:col>
      <xdr:colOff>57150</xdr:colOff>
      <xdr:row>67</xdr:row>
      <xdr:rowOff>47625</xdr:rowOff>
    </xdr:from>
    <xdr:to>
      <xdr:col>52</xdr:col>
      <xdr:colOff>114300</xdr:colOff>
      <xdr:row>68</xdr:row>
      <xdr:rowOff>171450</xdr:rowOff>
    </xdr:to>
    <xdr:sp macro="" textlink="">
      <xdr:nvSpPr>
        <xdr:cNvPr id="17923" name="Oval 3">
          <a:extLst>
            <a:ext uri="{FF2B5EF4-FFF2-40B4-BE49-F238E27FC236}">
              <a16:creationId xmlns:a16="http://schemas.microsoft.com/office/drawing/2014/main" id="{00000000-0008-0000-0400-000003460000}"/>
            </a:ext>
          </a:extLst>
        </xdr:cNvPr>
        <xdr:cNvSpPr>
          <a:spLocks noChangeArrowheads="1"/>
        </xdr:cNvSpPr>
      </xdr:nvSpPr>
      <xdr:spPr bwMode="auto">
        <a:xfrm>
          <a:off x="5553075" y="21183600"/>
          <a:ext cx="800100" cy="3143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45</xdr:col>
          <xdr:colOff>47625</xdr:colOff>
          <xdr:row>4</xdr:row>
          <xdr:rowOff>38100</xdr:rowOff>
        </xdr:from>
        <xdr:to>
          <xdr:col>52</xdr:col>
          <xdr:colOff>66675</xdr:colOff>
          <xdr:row>4</xdr:row>
          <xdr:rowOff>438150</xdr:rowOff>
        </xdr:to>
        <xdr:sp macro="" textlink="">
          <xdr:nvSpPr>
            <xdr:cNvPr id="17412" name="Butto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4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データクリア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jc0151\&#12304;H21&#30003;&#21578;&#26360;&#20445;&#23384;&#31665;&#12305;\Documents%20and%20Settings\kumamoto\&#12487;&#12473;&#12463;&#12488;&#12483;&#12503;\&#21830;&#27969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本"/>
      <sheetName val="特徴者"/>
      <sheetName val="８・19、21"/>
      <sheetName val="８・７、１１"/>
      <sheetName val="６ ・２５"/>
      <sheetName val="６ ・１１"/>
      <sheetName val="星山"/>
      <sheetName val="星山 (2)"/>
    </sheetNames>
    <sheetDataSet>
      <sheetData sheetId="0" refreshError="1"/>
      <sheetData sheetId="1">
        <row r="2">
          <cell r="B2" t="str">
            <v>元売</v>
          </cell>
        </row>
        <row r="3">
          <cell r="B3" t="str">
            <v>相光石油</v>
          </cell>
        </row>
        <row r="4">
          <cell r="B4" t="str">
            <v>旭日通産</v>
          </cell>
        </row>
        <row r="5">
          <cell r="B5" t="str">
            <v>和泉商事</v>
          </cell>
        </row>
        <row r="6">
          <cell r="B6" t="str">
            <v>出光興産</v>
          </cell>
        </row>
        <row r="7">
          <cell r="B7" t="str">
            <v>伊藤忠エネクス</v>
          </cell>
        </row>
        <row r="8">
          <cell r="B8" t="str">
            <v>うかいや</v>
          </cell>
        </row>
        <row r="9">
          <cell r="B9" t="str">
            <v>宇佐美</v>
          </cell>
        </row>
        <row r="10">
          <cell r="B10" t="str">
            <v>ｴｽｱｲｴﾅｼﾞｰ</v>
          </cell>
        </row>
        <row r="11">
          <cell r="B11" t="str">
            <v>エムロード</v>
          </cell>
        </row>
        <row r="12">
          <cell r="B12" t="str">
            <v>大阪物産</v>
          </cell>
        </row>
        <row r="13">
          <cell r="B13" t="str">
            <v>九州石油</v>
          </cell>
        </row>
        <row r="14">
          <cell r="B14" t="str">
            <v>九石商事</v>
          </cell>
        </row>
        <row r="15">
          <cell r="B15" t="str">
            <v>九石ｴﾝｼﾞﾆｱﾘﾝｸﾞ</v>
          </cell>
        </row>
        <row r="16">
          <cell r="B16" t="str">
            <v>熊本石油</v>
          </cell>
        </row>
        <row r="17">
          <cell r="B17" t="str">
            <v>熊本富士高潤</v>
          </cell>
        </row>
        <row r="18">
          <cell r="B18" t="str">
            <v>熊本輸送団地組合</v>
          </cell>
        </row>
        <row r="19">
          <cell r="B19" t="str">
            <v>小浦石油</v>
          </cell>
        </row>
        <row r="20">
          <cell r="B20" t="str">
            <v>小倉興産エネルギー</v>
          </cell>
        </row>
        <row r="21">
          <cell r="B21" t="str">
            <v>コスモ石油</v>
          </cell>
        </row>
        <row r="22">
          <cell r="B22" t="str">
            <v>ｺｰﾅﾝﾌﾘｰﾄ</v>
          </cell>
        </row>
        <row r="23">
          <cell r="B23" t="str">
            <v>三愛石油</v>
          </cell>
        </row>
        <row r="24">
          <cell r="B24" t="str">
            <v>ｼﾞｬﾊﾟﾝｴﾅｼﾞｰ</v>
          </cell>
        </row>
        <row r="25">
          <cell r="B25" t="str">
            <v>昭和ｼｪﾙ石油</v>
          </cell>
        </row>
        <row r="26">
          <cell r="B26" t="str">
            <v>新出光</v>
          </cell>
        </row>
        <row r="27">
          <cell r="B27" t="str">
            <v>新日本石油</v>
          </cell>
        </row>
        <row r="28">
          <cell r="B28" t="str">
            <v>鈴与ﾄﾗｯｸｽﾃｰｼｮﾝ</v>
          </cell>
        </row>
        <row r="29">
          <cell r="B29" t="str">
            <v>ｾｲﾉｰ商事</v>
          </cell>
        </row>
        <row r="30">
          <cell r="B30" t="str">
            <v>大中物産</v>
          </cell>
        </row>
        <row r="31">
          <cell r="B31" t="str">
            <v>太陽石油</v>
          </cell>
        </row>
        <row r="32">
          <cell r="B32" t="str">
            <v>東光石油</v>
          </cell>
        </row>
        <row r="33">
          <cell r="B33" t="str">
            <v>ﾄｰﾖｰｴﾅｼﾞｰ</v>
          </cell>
        </row>
        <row r="34">
          <cell r="B34" t="str">
            <v>日豊興産</v>
          </cell>
        </row>
        <row r="35">
          <cell r="B35" t="str">
            <v>日通商事</v>
          </cell>
        </row>
        <row r="36">
          <cell r="B36" t="str">
            <v>ﾆﾔｸﾄﾚｰﾃﾞｨﾝｸﾞ</v>
          </cell>
        </row>
        <row r="37">
          <cell r="B37" t="str">
            <v>馬場石油</v>
          </cell>
        </row>
        <row r="38">
          <cell r="B38" t="str">
            <v>南国殖産</v>
          </cell>
        </row>
        <row r="39">
          <cell r="B39" t="str">
            <v>丸紅ｴﾈﾙｷﾞｰ</v>
          </cell>
        </row>
        <row r="40">
          <cell r="B40" t="str">
            <v>Misumi</v>
          </cell>
        </row>
        <row r="41">
          <cell r="B41" t="str">
            <v>山文商事</v>
          </cell>
        </row>
        <row r="42">
          <cell r="B42" t="str">
            <v>吉田石油店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4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A1:X29"/>
  <sheetViews>
    <sheetView topLeftCell="E1" workbookViewId="0">
      <selection activeCell="S26" sqref="S26"/>
    </sheetView>
  </sheetViews>
  <sheetFormatPr defaultRowHeight="14.25" x14ac:dyDescent="0.15"/>
  <cols>
    <col min="1" max="1" width="4.125" style="16" customWidth="1"/>
    <col min="2" max="2" width="19" style="16" customWidth="1"/>
    <col min="3" max="3" width="29.75" style="16" customWidth="1"/>
    <col min="4" max="4" width="49.125" style="16" customWidth="1"/>
    <col min="5" max="7" width="9" style="16"/>
    <col min="8" max="8" width="10.625" style="16" customWidth="1"/>
    <col min="9" max="13" width="9" style="16"/>
    <col min="14" max="14" width="17.375" style="16" bestFit="1" customWidth="1"/>
    <col min="15" max="15" width="10.5" style="16" bestFit="1" customWidth="1"/>
    <col min="16" max="17" width="9" style="16"/>
    <col min="18" max="18" width="6.625" style="16" customWidth="1"/>
    <col min="19" max="19" width="6" style="16" customWidth="1"/>
    <col min="20" max="20" width="13.5" style="16" customWidth="1"/>
    <col min="21" max="21" width="7.875" style="16" customWidth="1"/>
    <col min="22" max="22" width="13.125" style="16" customWidth="1"/>
    <col min="23" max="16384" width="9" style="16"/>
  </cols>
  <sheetData>
    <row r="1" spans="1:24" ht="17.25" x14ac:dyDescent="0.15">
      <c r="B1" s="17" t="s">
        <v>107</v>
      </c>
      <c r="D1" s="21" t="s">
        <v>108</v>
      </c>
      <c r="E1" s="121" t="s">
        <v>123</v>
      </c>
      <c r="G1" s="16" t="s">
        <v>109</v>
      </c>
      <c r="H1" s="122">
        <f ca="1">TODAY()</f>
        <v>46168</v>
      </c>
      <c r="I1" s="123">
        <f ca="1">YEAR(H1)-E2</f>
        <v>8</v>
      </c>
      <c r="J1" s="124">
        <f ca="1">MONTH(H1)</f>
        <v>5</v>
      </c>
      <c r="K1" s="125">
        <f ca="1">DAY(H1)</f>
        <v>26</v>
      </c>
      <c r="L1" s="16" t="s">
        <v>110</v>
      </c>
      <c r="M1" s="16" t="str">
        <f ca="1">E1&amp;I1&amp;"年"&amp;J1&amp;"月"&amp;K1&amp;"日"</f>
        <v>令和8年5月26日</v>
      </c>
    </row>
    <row r="2" spans="1:24" x14ac:dyDescent="0.15">
      <c r="D2" s="21" t="s">
        <v>111</v>
      </c>
      <c r="E2" s="121">
        <v>2018</v>
      </c>
    </row>
    <row r="3" spans="1:24" x14ac:dyDescent="0.15">
      <c r="A3" s="16" t="s">
        <v>38</v>
      </c>
    </row>
    <row r="4" spans="1:24" x14ac:dyDescent="0.15">
      <c r="A4" s="18"/>
      <c r="B4" s="16" t="s">
        <v>39</v>
      </c>
      <c r="C4" s="19" t="s">
        <v>114</v>
      </c>
      <c r="G4" s="16" t="s">
        <v>114</v>
      </c>
    </row>
    <row r="5" spans="1:24" x14ac:dyDescent="0.15">
      <c r="A5" s="18"/>
      <c r="C5" s="20">
        <f>HLOOKUP(C4,G4:Q5,2,0)</f>
        <v>43001</v>
      </c>
      <c r="G5" s="16">
        <v>43001</v>
      </c>
    </row>
    <row r="6" spans="1:24" x14ac:dyDescent="0.15">
      <c r="A6" s="18"/>
      <c r="B6" s="16" t="s">
        <v>40</v>
      </c>
      <c r="C6" s="19">
        <v>2019</v>
      </c>
    </row>
    <row r="7" spans="1:24" x14ac:dyDescent="0.15">
      <c r="A7" s="18"/>
      <c r="B7" s="16" t="s">
        <v>106</v>
      </c>
      <c r="C7" s="19">
        <v>2020</v>
      </c>
      <c r="H7" s="16" t="str">
        <f>"第"&amp;C6&amp;"号（熊本県納番）"</f>
        <v>第2019号（熊本県納番）</v>
      </c>
    </row>
    <row r="9" spans="1:24" x14ac:dyDescent="0.15">
      <c r="K9" s="16" t="e">
        <f>IF(L9=#REF!,1,"")</f>
        <v>#REF!</v>
      </c>
      <c r="L9" s="16" t="s">
        <v>41</v>
      </c>
      <c r="M9" s="16" t="s">
        <v>42</v>
      </c>
    </row>
    <row r="14" spans="1:24" x14ac:dyDescent="0.15">
      <c r="P14" s="16">
        <f>納入・納付申告書!W43</f>
        <v>7</v>
      </c>
      <c r="Q14" s="16">
        <f>MONTH(納入・納付申告書!CA45)</f>
        <v>6</v>
      </c>
      <c r="S14" s="21" t="s">
        <v>19</v>
      </c>
      <c r="T14" s="22">
        <f>VLOOKUP(Q14,Q18:V29,6,0)</f>
        <v>34911</v>
      </c>
      <c r="U14" s="16" t="s">
        <v>113</v>
      </c>
      <c r="V14" s="23">
        <f>YEAR(T14)-1988</f>
        <v>7</v>
      </c>
      <c r="W14" s="16">
        <f>MONTH(T14)</f>
        <v>7</v>
      </c>
      <c r="X14" s="16">
        <f>DAY(T14)</f>
        <v>31</v>
      </c>
    </row>
    <row r="15" spans="1:24" x14ac:dyDescent="0.15">
      <c r="S15" s="21" t="s">
        <v>112</v>
      </c>
      <c r="T15" s="126" t="str">
        <f>DBCS(E1&amp;YEAR(T14)-E2&amp;"年"&amp;MONTH(T14)&amp;"月"&amp;DAY(T14)&amp;"日"&amp;TEXT(T14,U14))</f>
        <v>令和－２３年７月３１日（月）</v>
      </c>
      <c r="U15" s="16">
        <f>YEAR(T14)-$E$2</f>
        <v>-23</v>
      </c>
      <c r="V15" s="124">
        <f>MONTH(T14)</f>
        <v>7</v>
      </c>
      <c r="W15" s="125">
        <f>DAY(T14)</f>
        <v>31</v>
      </c>
    </row>
    <row r="16" spans="1:24" x14ac:dyDescent="0.15">
      <c r="Q16" s="16" t="s">
        <v>43</v>
      </c>
    </row>
    <row r="17" spans="14:22" x14ac:dyDescent="0.15">
      <c r="N17" s="16" t="s">
        <v>44</v>
      </c>
      <c r="Q17" s="16" t="s">
        <v>45</v>
      </c>
      <c r="R17" s="376" t="s">
        <v>46</v>
      </c>
      <c r="S17" s="376"/>
      <c r="T17" s="16" t="s">
        <v>47</v>
      </c>
      <c r="U17" s="16" t="s">
        <v>48</v>
      </c>
      <c r="V17" s="16" t="s">
        <v>19</v>
      </c>
    </row>
    <row r="18" spans="14:22" x14ac:dyDescent="0.15">
      <c r="N18" s="127">
        <f>納入・納付申告書!CA45</f>
        <v>45809</v>
      </c>
      <c r="O18" s="127">
        <f>DATE(YEAR(N18),MONTH(N18)+1,1)-1</f>
        <v>45838</v>
      </c>
      <c r="Q18" s="24">
        <v>12</v>
      </c>
      <c r="R18" s="16">
        <v>1</v>
      </c>
      <c r="S18" s="16">
        <v>31</v>
      </c>
      <c r="T18" s="128">
        <f>DATE(P14+1989,R18,S18)</f>
        <v>35095</v>
      </c>
      <c r="U18" s="16">
        <f t="shared" ref="U18:U29" si="0">WEEKDAY(T18)</f>
        <v>4</v>
      </c>
      <c r="V18" s="128">
        <f>IF(U18=7,T18+2,IF(U18=1,T18+1,T18))</f>
        <v>35095</v>
      </c>
    </row>
    <row r="19" spans="14:22" x14ac:dyDescent="0.15">
      <c r="O19" s="16" t="s">
        <v>49</v>
      </c>
      <c r="Q19" s="24">
        <v>1</v>
      </c>
      <c r="R19" s="16">
        <v>2</v>
      </c>
      <c r="S19" s="16">
        <f>DAY(DATE(P14+1988+1988,3,1)-1)</f>
        <v>28</v>
      </c>
      <c r="T19" s="128">
        <f>DATE(P14+1988,R19,S19)</f>
        <v>34758</v>
      </c>
      <c r="U19" s="16">
        <f t="shared" si="0"/>
        <v>3</v>
      </c>
      <c r="V19" s="128">
        <f>IF(U19=7,T19+2,IF(U19=1,T19+1,T19))</f>
        <v>34758</v>
      </c>
    </row>
    <row r="20" spans="14:22" x14ac:dyDescent="0.15">
      <c r="O20" s="16" t="s">
        <v>50</v>
      </c>
      <c r="Q20" s="24">
        <v>2</v>
      </c>
      <c r="R20" s="16">
        <v>3</v>
      </c>
      <c r="S20" s="16">
        <v>31</v>
      </c>
      <c r="T20" s="128">
        <f>DATE(P14+1988,R20,S20)</f>
        <v>34789</v>
      </c>
      <c r="U20" s="16">
        <f t="shared" si="0"/>
        <v>6</v>
      </c>
      <c r="V20" s="128">
        <f>IF(U20=7,T20+2,IF(U20=1,T20+1,T20))</f>
        <v>34789</v>
      </c>
    </row>
    <row r="21" spans="14:22" ht="32.25" customHeight="1" x14ac:dyDescent="0.15">
      <c r="Q21" s="24">
        <v>3</v>
      </c>
      <c r="R21" s="16">
        <v>4</v>
      </c>
      <c r="S21" s="16">
        <v>30</v>
      </c>
      <c r="T21" s="128">
        <f>DATE(P14+1988,R21,S21)</f>
        <v>34819</v>
      </c>
      <c r="U21" s="16">
        <f t="shared" si="0"/>
        <v>1</v>
      </c>
      <c r="V21" s="128">
        <f>IF(U21=7,T21+2,IF(OR(U21=1,U21=2),T21+1,T21))</f>
        <v>34820</v>
      </c>
    </row>
    <row r="22" spans="14:22" x14ac:dyDescent="0.15">
      <c r="Q22" s="24">
        <v>4</v>
      </c>
      <c r="R22" s="16">
        <v>5</v>
      </c>
      <c r="S22" s="16">
        <v>31</v>
      </c>
      <c r="T22" s="128">
        <f>DATE(P14+1988,R22,S22)</f>
        <v>34850</v>
      </c>
      <c r="U22" s="16">
        <f t="shared" si="0"/>
        <v>4</v>
      </c>
      <c r="V22" s="128">
        <f t="shared" ref="V22:V29" si="1">IF(U22=7,T22+2,IF(U22=1,T22+1,T22))</f>
        <v>34850</v>
      </c>
    </row>
    <row r="23" spans="14:22" x14ac:dyDescent="0.15">
      <c r="Q23" s="24">
        <v>5</v>
      </c>
      <c r="R23" s="16">
        <v>6</v>
      </c>
      <c r="S23" s="16">
        <v>30</v>
      </c>
      <c r="T23" s="128">
        <f>DATE(P14+1988,R23,S23)</f>
        <v>34880</v>
      </c>
      <c r="U23" s="16">
        <f t="shared" si="0"/>
        <v>6</v>
      </c>
      <c r="V23" s="128">
        <f t="shared" si="1"/>
        <v>34880</v>
      </c>
    </row>
    <row r="24" spans="14:22" x14ac:dyDescent="0.15">
      <c r="Q24" s="24">
        <v>6</v>
      </c>
      <c r="R24" s="16">
        <v>7</v>
      </c>
      <c r="S24" s="16">
        <v>31</v>
      </c>
      <c r="T24" s="128">
        <f>DATE(P14+1988,R24,S24)</f>
        <v>34911</v>
      </c>
      <c r="U24" s="16">
        <f t="shared" si="0"/>
        <v>2</v>
      </c>
      <c r="V24" s="128">
        <f t="shared" si="1"/>
        <v>34911</v>
      </c>
    </row>
    <row r="25" spans="14:22" x14ac:dyDescent="0.15">
      <c r="Q25" s="24">
        <v>7</v>
      </c>
      <c r="R25" s="16">
        <v>8</v>
      </c>
      <c r="S25" s="16">
        <v>31</v>
      </c>
      <c r="T25" s="128">
        <f>DATE(P14+1988,R25,S25)</f>
        <v>34942</v>
      </c>
      <c r="U25" s="16">
        <f t="shared" si="0"/>
        <v>5</v>
      </c>
      <c r="V25" s="128">
        <f t="shared" si="1"/>
        <v>34942</v>
      </c>
    </row>
    <row r="26" spans="14:22" x14ac:dyDescent="0.15">
      <c r="Q26" s="24">
        <v>8</v>
      </c>
      <c r="R26" s="16">
        <v>9</v>
      </c>
      <c r="S26" s="16">
        <v>30</v>
      </c>
      <c r="T26" s="128">
        <f>DATE(P14+1988,R26,S26)</f>
        <v>34972</v>
      </c>
      <c r="U26" s="16">
        <f t="shared" si="0"/>
        <v>7</v>
      </c>
      <c r="V26" s="128">
        <f t="shared" si="1"/>
        <v>34974</v>
      </c>
    </row>
    <row r="27" spans="14:22" x14ac:dyDescent="0.15">
      <c r="Q27" s="24">
        <v>9</v>
      </c>
      <c r="R27" s="16">
        <v>10</v>
      </c>
      <c r="S27" s="16">
        <v>31</v>
      </c>
      <c r="T27" s="128">
        <f>DATE(P14+1988,R27,S27)</f>
        <v>35003</v>
      </c>
      <c r="U27" s="16">
        <f t="shared" si="0"/>
        <v>3</v>
      </c>
      <c r="V27" s="128">
        <f t="shared" si="1"/>
        <v>35003</v>
      </c>
    </row>
    <row r="28" spans="14:22" x14ac:dyDescent="0.15">
      <c r="Q28" s="24">
        <v>10</v>
      </c>
      <c r="R28" s="16">
        <v>11</v>
      </c>
      <c r="S28" s="16">
        <v>30</v>
      </c>
      <c r="T28" s="128">
        <f>DATE(P14+1988,R28,S28)</f>
        <v>35033</v>
      </c>
      <c r="U28" s="16">
        <f t="shared" si="0"/>
        <v>5</v>
      </c>
      <c r="V28" s="128">
        <f t="shared" si="1"/>
        <v>35033</v>
      </c>
    </row>
    <row r="29" spans="14:22" x14ac:dyDescent="0.15">
      <c r="Q29" s="24">
        <v>11</v>
      </c>
      <c r="R29" s="16">
        <v>1</v>
      </c>
      <c r="S29" s="16">
        <v>4</v>
      </c>
      <c r="T29" s="128">
        <f>DATE(P14+1989,R29,S29)</f>
        <v>35068</v>
      </c>
      <c r="U29" s="16">
        <f t="shared" si="0"/>
        <v>5</v>
      </c>
      <c r="V29" s="128">
        <f t="shared" si="1"/>
        <v>35068</v>
      </c>
    </row>
  </sheetData>
  <mergeCells count="1">
    <mergeCell ref="R17:S17"/>
  </mergeCells>
  <phoneticPr fontId="2"/>
  <dataValidations count="3">
    <dataValidation imeMode="hiragana" allowBlank="1" showInputMessage="1" showErrorMessage="1" sqref="C5:C7 E1" xr:uid="{00000000-0002-0000-0000-000000000000}"/>
    <dataValidation type="list" imeMode="hiragana" allowBlank="1" showInputMessage="1" showErrorMessage="1" sqref="C4" xr:uid="{00000000-0002-0000-0000-000001000000}">
      <formula1>$G$4:$Q$4</formula1>
    </dataValidation>
    <dataValidation imeMode="off" allowBlank="1" showInputMessage="1" showErrorMessage="1" sqref="E2" xr:uid="{00000000-0002-0000-0000-000002000000}"/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CP63"/>
  <sheetViews>
    <sheetView showGridLines="0" view="pageBreakPreview" zoomScaleNormal="100" zoomScaleSheetLayoutView="100" workbookViewId="0">
      <pane xSplit="1" ySplit="5" topLeftCell="B38" activePane="bottomRight" state="frozen"/>
      <selection pane="topRight" activeCell="B1" sqref="B1"/>
      <selection pane="bottomLeft" activeCell="A7" sqref="A7"/>
      <selection pane="bottomRight" activeCell="BA45" sqref="BA45:BU46"/>
    </sheetView>
  </sheetViews>
  <sheetFormatPr defaultRowHeight="13.5" x14ac:dyDescent="0.15"/>
  <cols>
    <col min="1" max="1" width="2.5" style="146" customWidth="1"/>
    <col min="2" max="2" width="1.25" style="146" customWidth="1"/>
    <col min="3" max="19" width="1.625" style="146" customWidth="1"/>
    <col min="20" max="20" width="0.75" style="146" customWidth="1"/>
    <col min="21" max="21" width="0.875" style="146" customWidth="1"/>
    <col min="22" max="22" width="0.75" style="146" customWidth="1"/>
    <col min="23" max="23" width="0.875" style="146" customWidth="1"/>
    <col min="24" max="24" width="0.75" style="146" customWidth="1"/>
    <col min="25" max="25" width="0.875" style="146" customWidth="1"/>
    <col min="26" max="26" width="0.75" style="146" customWidth="1"/>
    <col min="27" max="27" width="0.875" style="146" customWidth="1"/>
    <col min="28" max="28" width="0.75" style="146" customWidth="1"/>
    <col min="29" max="29" width="0.875" style="146" customWidth="1"/>
    <col min="30" max="30" width="0.75" style="146" customWidth="1"/>
    <col min="31" max="31" width="0.875" style="146" customWidth="1"/>
    <col min="32" max="32" width="0.75" style="146" customWidth="1"/>
    <col min="33" max="33" width="0.875" style="146" customWidth="1"/>
    <col min="34" max="34" width="0.75" style="146" customWidth="1"/>
    <col min="35" max="35" width="0.875" style="146" customWidth="1"/>
    <col min="36" max="36" width="0.75" style="146" customWidth="1"/>
    <col min="37" max="37" width="0.875" style="146" customWidth="1"/>
    <col min="38" max="38" width="0.75" style="146" customWidth="1"/>
    <col min="39" max="39" width="0.875" style="146" customWidth="1"/>
    <col min="40" max="40" width="0.75" style="146" customWidth="1"/>
    <col min="41" max="41" width="0.875" style="146" customWidth="1"/>
    <col min="42" max="42" width="0.75" style="146" customWidth="1"/>
    <col min="43" max="43" width="0.875" style="146" customWidth="1"/>
    <col min="44" max="44" width="0.75" style="146" customWidth="1"/>
    <col min="45" max="45" width="0.875" style="146" customWidth="1"/>
    <col min="46" max="46" width="0.75" style="146" customWidth="1"/>
    <col min="47" max="47" width="0.875" style="146" customWidth="1"/>
    <col min="48" max="74" width="1.625" style="146" customWidth="1"/>
    <col min="75" max="78" width="9" style="146"/>
    <col min="79" max="79" width="10.375" style="146" customWidth="1"/>
    <col min="80" max="83" width="9" style="146"/>
    <col min="84" max="94" width="2.125" style="146" customWidth="1"/>
    <col min="95" max="16384" width="9" style="146"/>
  </cols>
  <sheetData>
    <row r="1" spans="2:83" ht="14.25" thickBot="1" x14ac:dyDescent="0.2"/>
    <row r="2" spans="2:83" ht="8.25" customHeight="1" x14ac:dyDescent="0.15"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9"/>
      <c r="O2" s="149"/>
      <c r="P2" s="148"/>
      <c r="Q2" s="148"/>
      <c r="R2" s="148"/>
      <c r="S2" s="148"/>
      <c r="T2" s="150"/>
      <c r="U2" s="148"/>
      <c r="V2" s="148"/>
      <c r="W2" s="148"/>
      <c r="X2" s="148"/>
      <c r="Y2" s="148"/>
      <c r="Z2" s="151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52"/>
      <c r="AY2" s="153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5"/>
    </row>
    <row r="3" spans="2:83" ht="8.25" customHeight="1" x14ac:dyDescent="0.15">
      <c r="B3" s="156"/>
      <c r="N3" s="157"/>
      <c r="O3" s="157"/>
      <c r="T3" s="158"/>
      <c r="Z3" s="159"/>
      <c r="AX3" s="160"/>
      <c r="AY3" s="161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3"/>
    </row>
    <row r="4" spans="2:83" ht="15" customHeight="1" x14ac:dyDescent="0.15">
      <c r="B4" s="156"/>
      <c r="N4" s="157"/>
      <c r="O4" s="157"/>
      <c r="T4" s="164"/>
      <c r="U4" s="165"/>
      <c r="V4" s="165"/>
      <c r="W4" s="165"/>
      <c r="X4" s="165"/>
      <c r="Y4" s="165"/>
      <c r="Z4" s="159"/>
      <c r="AX4" s="161"/>
      <c r="AY4" s="161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3"/>
      <c r="CD4" s="146" t="s">
        <v>52</v>
      </c>
      <c r="CE4" s="146" t="s">
        <v>53</v>
      </c>
    </row>
    <row r="5" spans="2:83" ht="21" customHeight="1" x14ac:dyDescent="0.15">
      <c r="B5" s="166"/>
      <c r="C5" s="167"/>
      <c r="E5" s="401" t="s">
        <v>0</v>
      </c>
      <c r="F5" s="401"/>
      <c r="G5" s="401"/>
      <c r="H5" s="401"/>
      <c r="I5" s="401"/>
      <c r="J5" s="401"/>
      <c r="K5" s="401"/>
      <c r="M5" s="167"/>
      <c r="AC5" s="489" t="s">
        <v>12</v>
      </c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3"/>
      <c r="AT5" s="465">
        <f>基本データ!C6</f>
        <v>2019</v>
      </c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168"/>
      <c r="BH5" s="168"/>
      <c r="BI5" s="168"/>
      <c r="BJ5" s="168"/>
      <c r="BK5" s="489" t="s">
        <v>117</v>
      </c>
      <c r="BL5" s="422"/>
      <c r="BM5" s="423"/>
      <c r="BN5" s="457">
        <f>基本データ!C7</f>
        <v>2020</v>
      </c>
      <c r="BO5" s="458"/>
      <c r="BP5" s="458"/>
      <c r="BQ5" s="458"/>
      <c r="BR5" s="458"/>
      <c r="BS5" s="458"/>
      <c r="BT5" s="458"/>
      <c r="BU5" s="459"/>
    </row>
    <row r="6" spans="2:83" ht="9.75" customHeight="1" x14ac:dyDescent="0.15">
      <c r="B6" s="156"/>
      <c r="E6" s="401"/>
      <c r="F6" s="401"/>
      <c r="G6" s="401"/>
      <c r="H6" s="401"/>
      <c r="I6" s="401"/>
      <c r="J6" s="401"/>
      <c r="K6" s="401"/>
      <c r="N6" s="169"/>
      <c r="O6" s="169"/>
      <c r="P6" s="169"/>
      <c r="Q6" s="169"/>
      <c r="R6" s="170"/>
      <c r="S6" s="171"/>
      <c r="T6" s="172"/>
      <c r="U6" s="172"/>
      <c r="V6" s="172"/>
      <c r="W6" s="173"/>
      <c r="X6" s="174"/>
      <c r="Y6" s="491" t="s">
        <v>5</v>
      </c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  <c r="AO6" s="492"/>
      <c r="AP6" s="492"/>
      <c r="AQ6" s="492"/>
      <c r="AR6" s="492"/>
      <c r="AS6" s="492"/>
      <c r="AT6" s="175"/>
      <c r="AU6" s="176"/>
      <c r="AV6" s="460" t="s">
        <v>118</v>
      </c>
      <c r="AW6" s="460"/>
      <c r="AX6" s="460"/>
      <c r="AY6" s="460"/>
      <c r="AZ6" s="460"/>
      <c r="BA6" s="460"/>
      <c r="BB6" s="460"/>
      <c r="BC6" s="460"/>
      <c r="BD6" s="460"/>
      <c r="BE6" s="460"/>
      <c r="BF6" s="460"/>
      <c r="BG6" s="460"/>
      <c r="BH6" s="460"/>
      <c r="BI6" s="460"/>
      <c r="BJ6" s="460"/>
      <c r="BK6" s="460"/>
      <c r="BL6" s="460"/>
      <c r="BM6" s="460"/>
      <c r="BN6" s="460"/>
      <c r="BO6" s="460"/>
      <c r="BP6" s="460"/>
      <c r="BQ6" s="460"/>
      <c r="BR6" s="460"/>
      <c r="BS6" s="460"/>
      <c r="BT6" s="460"/>
      <c r="BU6" s="177"/>
    </row>
    <row r="7" spans="2:83" ht="6.75" customHeight="1" x14ac:dyDescent="0.15">
      <c r="B7" s="156"/>
      <c r="E7" s="165"/>
      <c r="F7" s="165"/>
      <c r="G7" s="165"/>
      <c r="H7" s="165"/>
      <c r="I7" s="165"/>
      <c r="J7" s="165"/>
      <c r="K7" s="165"/>
      <c r="R7" s="178"/>
      <c r="S7" s="494" t="s">
        <v>20</v>
      </c>
      <c r="T7" s="493"/>
      <c r="U7" s="496" t="s">
        <v>21</v>
      </c>
      <c r="V7" s="496"/>
      <c r="W7" s="497"/>
      <c r="X7" s="179"/>
      <c r="Y7" s="493"/>
      <c r="Z7" s="493"/>
      <c r="AA7" s="493"/>
      <c r="AB7" s="493"/>
      <c r="AC7" s="493"/>
      <c r="AD7" s="493"/>
      <c r="AE7" s="493"/>
      <c r="AF7" s="493"/>
      <c r="AG7" s="493"/>
      <c r="AH7" s="493"/>
      <c r="AI7" s="493"/>
      <c r="AJ7" s="493"/>
      <c r="AK7" s="493"/>
      <c r="AL7" s="493"/>
      <c r="AM7" s="493"/>
      <c r="AN7" s="493"/>
      <c r="AO7" s="493"/>
      <c r="AP7" s="493"/>
      <c r="AQ7" s="493"/>
      <c r="AR7" s="493"/>
      <c r="AS7" s="493"/>
      <c r="AT7" s="180"/>
      <c r="AU7" s="181"/>
      <c r="AV7" s="389"/>
      <c r="AW7" s="389"/>
      <c r="AX7" s="389"/>
      <c r="AY7" s="389"/>
      <c r="AZ7" s="389"/>
      <c r="BA7" s="389"/>
      <c r="BB7" s="389"/>
      <c r="BC7" s="389"/>
      <c r="BD7" s="389"/>
      <c r="BE7" s="389"/>
      <c r="BF7" s="389"/>
      <c r="BG7" s="389"/>
      <c r="BH7" s="389"/>
      <c r="BI7" s="389"/>
      <c r="BJ7" s="389"/>
      <c r="BK7" s="389"/>
      <c r="BL7" s="389"/>
      <c r="BM7" s="389"/>
      <c r="BN7" s="389"/>
      <c r="BO7" s="389"/>
      <c r="BP7" s="389"/>
      <c r="BQ7" s="389"/>
      <c r="BR7" s="389"/>
      <c r="BS7" s="389"/>
      <c r="BT7" s="389"/>
      <c r="BU7" s="182"/>
    </row>
    <row r="8" spans="2:83" ht="6.75" customHeight="1" x14ac:dyDescent="0.15">
      <c r="B8" s="156"/>
      <c r="R8" s="183"/>
      <c r="S8" s="495"/>
      <c r="T8" s="493"/>
      <c r="U8" s="496"/>
      <c r="V8" s="496"/>
      <c r="W8" s="497"/>
      <c r="X8" s="184"/>
      <c r="Y8" s="493"/>
      <c r="Z8" s="493"/>
      <c r="AA8" s="493"/>
      <c r="AB8" s="493"/>
      <c r="AC8" s="493"/>
      <c r="AD8" s="493"/>
      <c r="AE8" s="493"/>
      <c r="AF8" s="493"/>
      <c r="AG8" s="493"/>
      <c r="AH8" s="493"/>
      <c r="AI8" s="493"/>
      <c r="AJ8" s="493"/>
      <c r="AK8" s="493"/>
      <c r="AL8" s="493"/>
      <c r="AM8" s="493"/>
      <c r="AN8" s="493"/>
      <c r="AO8" s="493"/>
      <c r="AP8" s="493"/>
      <c r="AQ8" s="493"/>
      <c r="AR8" s="493"/>
      <c r="AS8" s="493"/>
      <c r="AT8" s="180"/>
      <c r="AU8" s="181"/>
      <c r="AV8" s="389"/>
      <c r="AW8" s="389"/>
      <c r="AX8" s="389"/>
      <c r="AY8" s="389"/>
      <c r="AZ8" s="389"/>
      <c r="BA8" s="389"/>
      <c r="BB8" s="389"/>
      <c r="BC8" s="389"/>
      <c r="BD8" s="389"/>
      <c r="BE8" s="389"/>
      <c r="BF8" s="389"/>
      <c r="BG8" s="389"/>
      <c r="BH8" s="389"/>
      <c r="BI8" s="389"/>
      <c r="BJ8" s="389"/>
      <c r="BK8" s="389"/>
      <c r="BL8" s="389"/>
      <c r="BM8" s="389"/>
      <c r="BN8" s="389"/>
      <c r="BO8" s="389"/>
      <c r="BP8" s="389"/>
      <c r="BQ8" s="389"/>
      <c r="BR8" s="389"/>
      <c r="BS8" s="389"/>
      <c r="BT8" s="389"/>
      <c r="BU8" s="182"/>
    </row>
    <row r="9" spans="2:83" ht="6.75" customHeight="1" x14ac:dyDescent="0.15">
      <c r="B9" s="156"/>
      <c r="R9" s="183"/>
      <c r="S9" s="495"/>
      <c r="T9" s="493"/>
      <c r="U9" s="496"/>
      <c r="V9" s="496"/>
      <c r="W9" s="497"/>
      <c r="X9" s="185"/>
      <c r="Y9" s="493"/>
      <c r="Z9" s="493"/>
      <c r="AA9" s="493"/>
      <c r="AB9" s="493"/>
      <c r="AC9" s="493"/>
      <c r="AD9" s="493"/>
      <c r="AE9" s="493"/>
      <c r="AF9" s="493"/>
      <c r="AG9" s="493"/>
      <c r="AH9" s="493"/>
      <c r="AI9" s="493"/>
      <c r="AJ9" s="493"/>
      <c r="AK9" s="493"/>
      <c r="AL9" s="493"/>
      <c r="AM9" s="493"/>
      <c r="AN9" s="493"/>
      <c r="AO9" s="493"/>
      <c r="AP9" s="493"/>
      <c r="AQ9" s="493"/>
      <c r="AR9" s="493"/>
      <c r="AS9" s="493"/>
      <c r="AT9" s="180"/>
      <c r="AU9" s="181"/>
      <c r="AV9" s="389"/>
      <c r="AW9" s="389"/>
      <c r="AX9" s="389"/>
      <c r="AY9" s="389"/>
      <c r="AZ9" s="389"/>
      <c r="BA9" s="389"/>
      <c r="BB9" s="389"/>
      <c r="BC9" s="389"/>
      <c r="BD9" s="389"/>
      <c r="BE9" s="389"/>
      <c r="BF9" s="389"/>
      <c r="BG9" s="389"/>
      <c r="BH9" s="389"/>
      <c r="BI9" s="389"/>
      <c r="BJ9" s="389"/>
      <c r="BK9" s="389"/>
      <c r="BL9" s="389"/>
      <c r="BM9" s="389"/>
      <c r="BN9" s="389"/>
      <c r="BO9" s="389"/>
      <c r="BP9" s="389"/>
      <c r="BQ9" s="389"/>
      <c r="BR9" s="389"/>
      <c r="BS9" s="389"/>
      <c r="BT9" s="389"/>
      <c r="BU9" s="182"/>
    </row>
    <row r="10" spans="2:83" ht="6.75" customHeight="1" x14ac:dyDescent="0.15">
      <c r="B10" s="156"/>
      <c r="R10" s="183"/>
      <c r="S10" s="495"/>
      <c r="T10" s="493"/>
      <c r="U10" s="496"/>
      <c r="V10" s="496"/>
      <c r="W10" s="497"/>
      <c r="X10" s="179"/>
      <c r="Y10" s="493"/>
      <c r="Z10" s="493"/>
      <c r="AA10" s="493"/>
      <c r="AB10" s="493"/>
      <c r="AC10" s="493"/>
      <c r="AD10" s="493"/>
      <c r="AE10" s="493"/>
      <c r="AF10" s="493"/>
      <c r="AG10" s="493"/>
      <c r="AH10" s="493"/>
      <c r="AI10" s="493"/>
      <c r="AJ10" s="493"/>
      <c r="AK10" s="493"/>
      <c r="AL10" s="493"/>
      <c r="AM10" s="493"/>
      <c r="AN10" s="493"/>
      <c r="AO10" s="493"/>
      <c r="AP10" s="493"/>
      <c r="AQ10" s="493"/>
      <c r="AR10" s="493"/>
      <c r="AS10" s="493"/>
      <c r="AT10" s="180"/>
      <c r="AU10" s="181"/>
      <c r="AV10" s="389"/>
      <c r="AW10" s="389"/>
      <c r="AX10" s="389"/>
      <c r="AY10" s="389"/>
      <c r="AZ10" s="389"/>
      <c r="BA10" s="389"/>
      <c r="BB10" s="389"/>
      <c r="BC10" s="389"/>
      <c r="BD10" s="389"/>
      <c r="BE10" s="389"/>
      <c r="BF10" s="389"/>
      <c r="BG10" s="389"/>
      <c r="BH10" s="389"/>
      <c r="BI10" s="389"/>
      <c r="BJ10" s="389"/>
      <c r="BK10" s="389"/>
      <c r="BL10" s="389"/>
      <c r="BM10" s="389"/>
      <c r="BN10" s="389"/>
      <c r="BO10" s="389"/>
      <c r="BP10" s="389"/>
      <c r="BQ10" s="389"/>
      <c r="BR10" s="389"/>
      <c r="BS10" s="389"/>
      <c r="BT10" s="389"/>
      <c r="BU10" s="182"/>
    </row>
    <row r="11" spans="2:83" ht="9.75" customHeight="1" x14ac:dyDescent="0.15">
      <c r="B11" s="156"/>
      <c r="C11" s="490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418"/>
      <c r="O11" s="418"/>
      <c r="Q11" s="186"/>
      <c r="R11" s="183"/>
      <c r="S11" s="495"/>
      <c r="T11" s="493"/>
      <c r="U11" s="496"/>
      <c r="V11" s="496"/>
      <c r="W11" s="497"/>
      <c r="X11" s="187"/>
      <c r="Y11" s="408"/>
      <c r="Z11" s="408"/>
      <c r="AA11" s="408"/>
      <c r="AB11" s="408"/>
      <c r="AC11" s="408"/>
      <c r="AD11" s="408"/>
      <c r="AE11" s="408"/>
      <c r="AF11" s="408"/>
      <c r="AG11" s="408"/>
      <c r="AH11" s="408"/>
      <c r="AI11" s="408"/>
      <c r="AJ11" s="408"/>
      <c r="AK11" s="408"/>
      <c r="AL11" s="408"/>
      <c r="AM11" s="408"/>
      <c r="AN11" s="408"/>
      <c r="AO11" s="408"/>
      <c r="AP11" s="408"/>
      <c r="AQ11" s="408"/>
      <c r="AR11" s="408"/>
      <c r="AS11" s="408"/>
      <c r="AT11" s="188"/>
      <c r="AU11" s="189"/>
      <c r="AV11" s="461"/>
      <c r="AW11" s="461"/>
      <c r="AX11" s="461"/>
      <c r="AY11" s="461"/>
      <c r="AZ11" s="461"/>
      <c r="BA11" s="461"/>
      <c r="BB11" s="461"/>
      <c r="BC11" s="461"/>
      <c r="BD11" s="461"/>
      <c r="BE11" s="461"/>
      <c r="BF11" s="461"/>
      <c r="BG11" s="461"/>
      <c r="BH11" s="461"/>
      <c r="BI11" s="461"/>
      <c r="BJ11" s="461"/>
      <c r="BK11" s="461"/>
      <c r="BL11" s="461"/>
      <c r="BM11" s="461"/>
      <c r="BN11" s="461"/>
      <c r="BO11" s="461"/>
      <c r="BP11" s="461"/>
      <c r="BQ11" s="461"/>
      <c r="BR11" s="461"/>
      <c r="BS11" s="461"/>
      <c r="BT11" s="461"/>
      <c r="BU11" s="190"/>
    </row>
    <row r="12" spans="2:83" ht="20.25" customHeight="1" x14ac:dyDescent="0.15">
      <c r="B12" s="191"/>
      <c r="C12" s="490"/>
      <c r="D12" s="490"/>
      <c r="E12" s="490"/>
      <c r="F12" s="490"/>
      <c r="G12" s="490"/>
      <c r="H12" s="490"/>
      <c r="I12" s="490"/>
      <c r="J12" s="490"/>
      <c r="K12" s="490"/>
      <c r="L12" s="490"/>
      <c r="M12" s="490"/>
      <c r="N12" s="490"/>
      <c r="O12" s="490"/>
      <c r="P12" s="490"/>
      <c r="Q12" s="490"/>
      <c r="R12" s="183"/>
      <c r="S12" s="495"/>
      <c r="T12" s="493"/>
      <c r="U12" s="496"/>
      <c r="V12" s="496"/>
      <c r="W12" s="497"/>
      <c r="X12" s="192"/>
      <c r="Y12" s="483" t="s">
        <v>11</v>
      </c>
      <c r="Z12" s="483"/>
      <c r="AA12" s="483"/>
      <c r="AB12" s="483"/>
      <c r="AC12" s="483"/>
      <c r="AD12" s="483"/>
      <c r="AE12" s="483"/>
      <c r="AF12" s="483"/>
      <c r="AG12" s="483"/>
      <c r="AH12" s="483"/>
      <c r="AI12" s="483"/>
      <c r="AJ12" s="483"/>
      <c r="AK12" s="483"/>
      <c r="AL12" s="483"/>
      <c r="AM12" s="483"/>
      <c r="AN12" s="483"/>
      <c r="AO12" s="483"/>
      <c r="AP12" s="483"/>
      <c r="AQ12" s="483"/>
      <c r="AR12" s="483"/>
      <c r="AS12" s="483"/>
      <c r="AT12" s="193"/>
      <c r="AU12" s="194"/>
      <c r="AV12" s="462" t="s">
        <v>119</v>
      </c>
      <c r="AW12" s="462"/>
      <c r="AX12" s="462"/>
      <c r="AY12" s="462"/>
      <c r="AZ12" s="462"/>
      <c r="BA12" s="462"/>
      <c r="BB12" s="462"/>
      <c r="BC12" s="462"/>
      <c r="BD12" s="462"/>
      <c r="BE12" s="462"/>
      <c r="BF12" s="462"/>
      <c r="BG12" s="462"/>
      <c r="BH12" s="462"/>
      <c r="BI12" s="462"/>
      <c r="BJ12" s="462"/>
      <c r="BK12" s="462"/>
      <c r="BL12" s="462"/>
      <c r="BM12" s="462"/>
      <c r="BN12" s="462"/>
      <c r="BO12" s="462"/>
      <c r="BP12" s="462"/>
      <c r="BQ12" s="462"/>
      <c r="BR12" s="462"/>
      <c r="BS12" s="422" t="s">
        <v>1</v>
      </c>
      <c r="BT12" s="422"/>
      <c r="BU12" s="195"/>
    </row>
    <row r="13" spans="2:83" ht="6.95" customHeight="1" x14ac:dyDescent="0.15">
      <c r="B13" s="191"/>
      <c r="P13" s="196"/>
      <c r="Q13" s="186"/>
      <c r="R13" s="183"/>
      <c r="S13" s="495"/>
      <c r="T13" s="493"/>
      <c r="U13" s="496"/>
      <c r="V13" s="496"/>
      <c r="W13" s="497"/>
      <c r="X13" s="179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  <c r="AL13" s="390"/>
      <c r="AM13" s="390"/>
      <c r="AN13" s="390"/>
      <c r="AO13" s="390"/>
      <c r="AP13" s="390"/>
      <c r="AQ13" s="390"/>
      <c r="AR13" s="390"/>
      <c r="AS13" s="390"/>
      <c r="AT13" s="180"/>
      <c r="AU13" s="197"/>
      <c r="AV13" s="463"/>
      <c r="AW13" s="463"/>
      <c r="AX13" s="463"/>
      <c r="AY13" s="463"/>
      <c r="AZ13" s="463"/>
      <c r="BA13" s="463"/>
      <c r="BB13" s="463"/>
      <c r="BC13" s="463"/>
      <c r="BD13" s="463"/>
      <c r="BE13" s="463"/>
      <c r="BF13" s="463"/>
      <c r="BG13" s="463"/>
      <c r="BH13" s="463"/>
      <c r="BI13" s="463"/>
      <c r="BJ13" s="463"/>
      <c r="BK13" s="463"/>
      <c r="BL13" s="463"/>
      <c r="BM13" s="463"/>
      <c r="BN13" s="463"/>
      <c r="BO13" s="463"/>
      <c r="BP13" s="463"/>
      <c r="BQ13" s="463"/>
      <c r="BR13" s="463"/>
      <c r="BS13" s="386"/>
      <c r="BT13" s="386"/>
      <c r="BU13" s="199"/>
    </row>
    <row r="14" spans="2:83" ht="20.25" customHeight="1" x14ac:dyDescent="0.15">
      <c r="B14" s="191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86"/>
      <c r="R14" s="183"/>
      <c r="S14" s="495"/>
      <c r="T14" s="493"/>
      <c r="U14" s="496"/>
      <c r="V14" s="496"/>
      <c r="W14" s="497"/>
      <c r="X14" s="187"/>
      <c r="Y14" s="484"/>
      <c r="Z14" s="484"/>
      <c r="AA14" s="484"/>
      <c r="AB14" s="484"/>
      <c r="AC14" s="484"/>
      <c r="AD14" s="484"/>
      <c r="AE14" s="484"/>
      <c r="AF14" s="484"/>
      <c r="AG14" s="484"/>
      <c r="AH14" s="484"/>
      <c r="AI14" s="484"/>
      <c r="AJ14" s="484"/>
      <c r="AK14" s="484"/>
      <c r="AL14" s="484"/>
      <c r="AM14" s="484"/>
      <c r="AN14" s="484"/>
      <c r="AO14" s="484"/>
      <c r="AP14" s="484"/>
      <c r="AQ14" s="484"/>
      <c r="AR14" s="484"/>
      <c r="AS14" s="484"/>
      <c r="AT14" s="200"/>
      <c r="AU14" s="201"/>
      <c r="AV14" s="464" t="s">
        <v>120</v>
      </c>
      <c r="AW14" s="464"/>
      <c r="AX14" s="464"/>
      <c r="AY14" s="464"/>
      <c r="AZ14" s="464"/>
      <c r="BA14" s="464"/>
      <c r="BB14" s="464"/>
      <c r="BC14" s="464"/>
      <c r="BD14" s="464"/>
      <c r="BE14" s="464"/>
      <c r="BF14" s="464"/>
      <c r="BG14" s="464"/>
      <c r="BH14" s="464"/>
      <c r="BI14" s="464"/>
      <c r="BJ14" s="464"/>
      <c r="BK14" s="464"/>
      <c r="BL14" s="464"/>
      <c r="BM14" s="464"/>
      <c r="BN14" s="464"/>
      <c r="BO14" s="464"/>
      <c r="BP14" s="464"/>
      <c r="BQ14" s="464"/>
      <c r="BR14" s="464"/>
      <c r="BS14" s="424"/>
      <c r="BT14" s="424"/>
      <c r="BU14" s="202"/>
    </row>
    <row r="15" spans="2:83" ht="23.1" customHeight="1" x14ac:dyDescent="0.15">
      <c r="B15" s="191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86"/>
      <c r="R15" s="183"/>
      <c r="S15" s="495"/>
      <c r="T15" s="493"/>
      <c r="U15" s="496"/>
      <c r="V15" s="496"/>
      <c r="W15" s="497"/>
      <c r="X15" s="179"/>
      <c r="Y15" s="482" t="s">
        <v>115</v>
      </c>
      <c r="Z15" s="483"/>
      <c r="AA15" s="483"/>
      <c r="AB15" s="483"/>
      <c r="AC15" s="483"/>
      <c r="AD15" s="483"/>
      <c r="AE15" s="483"/>
      <c r="AF15" s="483"/>
      <c r="AG15" s="483"/>
      <c r="AH15" s="483"/>
      <c r="AI15" s="483"/>
      <c r="AJ15" s="483"/>
      <c r="AK15" s="483"/>
      <c r="AL15" s="483"/>
      <c r="AM15" s="483"/>
      <c r="AN15" s="483"/>
      <c r="AO15" s="483"/>
      <c r="AP15" s="483"/>
      <c r="AQ15" s="483"/>
      <c r="AR15" s="483"/>
      <c r="AS15" s="483"/>
      <c r="AT15" s="185"/>
      <c r="AU15" s="197"/>
      <c r="AV15" s="477">
        <v>6</v>
      </c>
      <c r="AW15" s="485"/>
      <c r="AX15" s="473">
        <v>3</v>
      </c>
      <c r="AY15" s="474"/>
      <c r="AZ15" s="469">
        <v>3</v>
      </c>
      <c r="BA15" s="474"/>
      <c r="BB15" s="477">
        <v>0</v>
      </c>
      <c r="BC15" s="477"/>
      <c r="BD15" s="469">
        <v>0</v>
      </c>
      <c r="BE15" s="477"/>
      <c r="BF15" s="473">
        <v>0</v>
      </c>
      <c r="BG15" s="474"/>
      <c r="BH15" s="469">
        <v>2</v>
      </c>
      <c r="BI15" s="477"/>
      <c r="BJ15" s="469">
        <v>0</v>
      </c>
      <c r="BK15" s="474"/>
      <c r="BL15" s="469">
        <v>0</v>
      </c>
      <c r="BM15" s="485"/>
      <c r="BN15" s="477">
        <v>1</v>
      </c>
      <c r="BO15" s="474"/>
      <c r="BP15" s="469">
        <v>6</v>
      </c>
      <c r="BQ15" s="474"/>
      <c r="BR15" s="469">
        <v>3</v>
      </c>
      <c r="BS15" s="474"/>
      <c r="BT15" s="469">
        <v>5</v>
      </c>
      <c r="BU15" s="470"/>
    </row>
    <row r="16" spans="2:83" ht="23.1" customHeight="1" x14ac:dyDescent="0.15">
      <c r="B16" s="191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86"/>
      <c r="R16" s="183"/>
      <c r="S16" s="495"/>
      <c r="T16" s="493"/>
      <c r="U16" s="496"/>
      <c r="V16" s="496"/>
      <c r="W16" s="497"/>
      <c r="X16" s="179"/>
      <c r="Y16" s="484"/>
      <c r="Z16" s="484"/>
      <c r="AA16" s="484"/>
      <c r="AB16" s="484"/>
      <c r="AC16" s="484"/>
      <c r="AD16" s="484"/>
      <c r="AE16" s="484"/>
      <c r="AF16" s="484"/>
      <c r="AG16" s="484"/>
      <c r="AH16" s="484"/>
      <c r="AI16" s="484"/>
      <c r="AJ16" s="484"/>
      <c r="AK16" s="484"/>
      <c r="AL16" s="484"/>
      <c r="AM16" s="484"/>
      <c r="AN16" s="484"/>
      <c r="AO16" s="484"/>
      <c r="AP16" s="484"/>
      <c r="AQ16" s="484"/>
      <c r="AR16" s="484"/>
      <c r="AS16" s="484"/>
      <c r="AT16" s="185"/>
      <c r="AU16" s="197"/>
      <c r="AV16" s="478"/>
      <c r="AW16" s="486"/>
      <c r="AX16" s="475"/>
      <c r="AY16" s="476"/>
      <c r="AZ16" s="471"/>
      <c r="BA16" s="476"/>
      <c r="BB16" s="478"/>
      <c r="BC16" s="478"/>
      <c r="BD16" s="471"/>
      <c r="BE16" s="478"/>
      <c r="BF16" s="475"/>
      <c r="BG16" s="476"/>
      <c r="BH16" s="471"/>
      <c r="BI16" s="478"/>
      <c r="BJ16" s="471"/>
      <c r="BK16" s="476"/>
      <c r="BL16" s="471"/>
      <c r="BM16" s="486"/>
      <c r="BN16" s="478"/>
      <c r="BO16" s="476"/>
      <c r="BP16" s="471"/>
      <c r="BQ16" s="476"/>
      <c r="BR16" s="471"/>
      <c r="BS16" s="476"/>
      <c r="BT16" s="471"/>
      <c r="BU16" s="472"/>
    </row>
    <row r="17" spans="2:73" ht="6.75" customHeight="1" x14ac:dyDescent="0.15">
      <c r="B17" s="191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86"/>
      <c r="R17" s="183"/>
      <c r="S17" s="495"/>
      <c r="T17" s="493"/>
      <c r="U17" s="496"/>
      <c r="V17" s="496"/>
      <c r="W17" s="497"/>
      <c r="X17" s="193"/>
      <c r="Y17" s="502" t="s">
        <v>31</v>
      </c>
      <c r="Z17" s="502"/>
      <c r="AA17" s="502"/>
      <c r="AB17" s="502"/>
      <c r="AC17" s="502"/>
      <c r="AD17" s="502"/>
      <c r="AE17" s="502"/>
      <c r="AF17" s="502"/>
      <c r="AG17" s="502"/>
      <c r="AH17" s="502"/>
      <c r="AI17" s="502"/>
      <c r="AJ17" s="502"/>
      <c r="AK17" s="502"/>
      <c r="AL17" s="502"/>
      <c r="AM17" s="502"/>
      <c r="AN17" s="502"/>
      <c r="AO17" s="502"/>
      <c r="AP17" s="502"/>
      <c r="AQ17" s="502"/>
      <c r="AR17" s="502"/>
      <c r="AS17" s="502"/>
      <c r="AT17" s="193"/>
      <c r="AU17" s="203"/>
      <c r="AV17" s="479" t="s">
        <v>124</v>
      </c>
      <c r="AW17" s="480"/>
      <c r="AX17" s="480"/>
      <c r="AY17" s="480"/>
      <c r="AZ17" s="480"/>
      <c r="BA17" s="480"/>
      <c r="BB17" s="480"/>
      <c r="BC17" s="480"/>
      <c r="BD17" s="480"/>
      <c r="BE17" s="480"/>
      <c r="BF17" s="480"/>
      <c r="BG17" s="480"/>
      <c r="BH17" s="480"/>
      <c r="BI17" s="480"/>
      <c r="BJ17" s="480"/>
      <c r="BK17" s="480"/>
      <c r="BL17" s="480"/>
      <c r="BM17" s="480"/>
      <c r="BN17" s="480"/>
      <c r="BO17" s="480"/>
      <c r="BP17" s="480"/>
      <c r="BQ17" s="480"/>
      <c r="BR17" s="480"/>
      <c r="BS17" s="480"/>
      <c r="BT17" s="480"/>
      <c r="BU17" s="195"/>
    </row>
    <row r="18" spans="2:73" ht="14.25" x14ac:dyDescent="0.15">
      <c r="B18" s="204"/>
      <c r="C18" s="487" t="str">
        <f ca="1">基本データ!M1</f>
        <v>令和8年5月26日</v>
      </c>
      <c r="D18" s="487"/>
      <c r="E18" s="487"/>
      <c r="F18" s="487"/>
      <c r="G18" s="487"/>
      <c r="H18" s="487"/>
      <c r="I18" s="487"/>
      <c r="J18" s="487"/>
      <c r="K18" s="487"/>
      <c r="L18" s="487"/>
      <c r="M18" s="487"/>
      <c r="N18" s="487"/>
      <c r="O18" s="487"/>
      <c r="P18" s="487"/>
      <c r="Q18" s="487"/>
      <c r="R18" s="205"/>
      <c r="S18" s="495"/>
      <c r="T18" s="493"/>
      <c r="U18" s="496"/>
      <c r="V18" s="496"/>
      <c r="W18" s="497"/>
      <c r="X18" s="179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184"/>
      <c r="AU18" s="206"/>
      <c r="AV18" s="481"/>
      <c r="AW18" s="481"/>
      <c r="AX18" s="481"/>
      <c r="AY18" s="481"/>
      <c r="AZ18" s="481"/>
      <c r="BA18" s="481"/>
      <c r="BB18" s="481"/>
      <c r="BC18" s="481"/>
      <c r="BD18" s="481"/>
      <c r="BE18" s="481"/>
      <c r="BF18" s="481"/>
      <c r="BG18" s="481"/>
      <c r="BH18" s="481"/>
      <c r="BI18" s="481"/>
      <c r="BJ18" s="481"/>
      <c r="BK18" s="481"/>
      <c r="BL18" s="481"/>
      <c r="BM18" s="481"/>
      <c r="BN18" s="481"/>
      <c r="BO18" s="481"/>
      <c r="BP18" s="481"/>
      <c r="BQ18" s="481"/>
      <c r="BR18" s="481"/>
      <c r="BS18" s="481"/>
      <c r="BT18" s="481"/>
      <c r="BU18" s="199"/>
    </row>
    <row r="19" spans="2:73" ht="6.95" customHeight="1" x14ac:dyDescent="0.15">
      <c r="B19" s="207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198"/>
      <c r="Q19" s="198"/>
      <c r="R19" s="205"/>
      <c r="S19" s="495"/>
      <c r="T19" s="493"/>
      <c r="U19" s="496"/>
      <c r="V19" s="496"/>
      <c r="W19" s="497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209"/>
      <c r="AR19" s="209"/>
      <c r="AS19" s="209"/>
      <c r="AT19" s="209"/>
      <c r="AU19" s="210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99"/>
    </row>
    <row r="20" spans="2:73" ht="13.5" customHeight="1" x14ac:dyDescent="0.15">
      <c r="B20" s="211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198"/>
      <c r="R20" s="205"/>
      <c r="S20" s="495"/>
      <c r="T20" s="493"/>
      <c r="U20" s="496"/>
      <c r="V20" s="496"/>
      <c r="W20" s="497"/>
      <c r="X20" s="185"/>
      <c r="Y20" s="467" t="s">
        <v>2</v>
      </c>
      <c r="Z20" s="467"/>
      <c r="AA20" s="467"/>
      <c r="AB20" s="467"/>
      <c r="AC20" s="467"/>
      <c r="AD20" s="467"/>
      <c r="AE20" s="467"/>
      <c r="AF20" s="467"/>
      <c r="AG20" s="467"/>
      <c r="AH20" s="467"/>
      <c r="AI20" s="467"/>
      <c r="AJ20" s="467"/>
      <c r="AK20" s="467"/>
      <c r="AL20" s="467"/>
      <c r="AM20" s="467"/>
      <c r="AN20" s="467"/>
      <c r="AO20" s="467"/>
      <c r="AP20" s="467"/>
      <c r="AQ20" s="467"/>
      <c r="AR20" s="467"/>
      <c r="AS20" s="467"/>
      <c r="AT20" s="185"/>
      <c r="AU20" s="212"/>
      <c r="AV20" s="179"/>
      <c r="AW20" s="179"/>
      <c r="AX20" s="179"/>
      <c r="AY20" s="179"/>
      <c r="AZ20" s="498" t="s">
        <v>121</v>
      </c>
      <c r="BA20" s="498"/>
      <c r="BB20" s="498"/>
      <c r="BC20" s="498"/>
      <c r="BD20" s="498"/>
      <c r="BE20" s="498"/>
      <c r="BF20" s="498"/>
      <c r="BG20" s="498"/>
      <c r="BH20" s="498"/>
      <c r="BI20" s="498"/>
      <c r="BJ20" s="498"/>
      <c r="BK20" s="498"/>
      <c r="BL20" s="498"/>
      <c r="BM20" s="498"/>
      <c r="BN20" s="498"/>
      <c r="BO20" s="498"/>
      <c r="BP20" s="498"/>
      <c r="BQ20" s="498"/>
      <c r="BR20" s="498"/>
      <c r="BS20" s="498"/>
      <c r="BT20" s="498"/>
      <c r="BU20" s="499"/>
    </row>
    <row r="21" spans="2:73" ht="6.75" customHeight="1" x14ac:dyDescent="0.15">
      <c r="B21" s="156"/>
      <c r="R21" s="213"/>
      <c r="S21" s="214"/>
      <c r="T21" s="215"/>
      <c r="U21" s="215"/>
      <c r="V21" s="215"/>
      <c r="W21" s="216"/>
      <c r="X21" s="187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200"/>
      <c r="AU21" s="217"/>
      <c r="AV21" s="187"/>
      <c r="AW21" s="187"/>
      <c r="AX21" s="187"/>
      <c r="AY21" s="187"/>
      <c r="AZ21" s="500"/>
      <c r="BA21" s="500"/>
      <c r="BB21" s="500"/>
      <c r="BC21" s="500"/>
      <c r="BD21" s="500"/>
      <c r="BE21" s="500"/>
      <c r="BF21" s="500"/>
      <c r="BG21" s="500"/>
      <c r="BH21" s="500"/>
      <c r="BI21" s="500"/>
      <c r="BJ21" s="500"/>
      <c r="BK21" s="500"/>
      <c r="BL21" s="500"/>
      <c r="BM21" s="500"/>
      <c r="BN21" s="500"/>
      <c r="BO21" s="500"/>
      <c r="BP21" s="500"/>
      <c r="BQ21" s="500"/>
      <c r="BR21" s="500"/>
      <c r="BS21" s="500"/>
      <c r="BT21" s="500"/>
      <c r="BU21" s="501"/>
    </row>
    <row r="22" spans="2:73" ht="6.75" customHeight="1" x14ac:dyDescent="0.15">
      <c r="B22" s="156"/>
      <c r="S22" s="380" t="s">
        <v>8</v>
      </c>
      <c r="T22" s="381"/>
      <c r="U22" s="381"/>
      <c r="V22" s="381"/>
      <c r="W22" s="382"/>
      <c r="X22" s="219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1"/>
      <c r="AV22" s="192"/>
      <c r="AW22" s="192"/>
      <c r="AX22" s="192"/>
      <c r="AY22" s="192"/>
      <c r="AZ22" s="192"/>
      <c r="BA22" s="192"/>
      <c r="BB22" s="192"/>
      <c r="BC22" s="19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3"/>
    </row>
    <row r="23" spans="2:73" ht="13.5" customHeight="1" x14ac:dyDescent="0.15">
      <c r="B23" s="156"/>
      <c r="C23" s="395" t="str">
        <f>"熊本県"&amp;基本データ!C4&amp;"長"</f>
        <v>熊本県県央広域本部長</v>
      </c>
      <c r="D23" s="395"/>
      <c r="E23" s="395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86" t="s">
        <v>4</v>
      </c>
      <c r="R23" s="387"/>
      <c r="S23" s="383"/>
      <c r="T23" s="384"/>
      <c r="U23" s="384"/>
      <c r="V23" s="384"/>
      <c r="W23" s="385"/>
      <c r="X23" s="224"/>
      <c r="Y23" s="390" t="s">
        <v>3</v>
      </c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  <c r="AL23" s="390"/>
      <c r="AM23" s="390"/>
      <c r="AN23" s="390"/>
      <c r="AO23" s="390"/>
      <c r="AP23" s="390"/>
      <c r="AQ23" s="390"/>
      <c r="AR23" s="390"/>
      <c r="AS23" s="390"/>
      <c r="AT23" s="185"/>
      <c r="AU23" s="225"/>
      <c r="AV23" s="388" t="s">
        <v>122</v>
      </c>
      <c r="AW23" s="389"/>
      <c r="AX23" s="389"/>
      <c r="AY23" s="389"/>
      <c r="AZ23" s="389"/>
      <c r="BA23" s="389"/>
      <c r="BB23" s="389"/>
      <c r="BC23" s="389"/>
      <c r="BD23" s="389"/>
      <c r="BE23" s="389"/>
      <c r="BF23" s="389"/>
      <c r="BG23" s="389"/>
      <c r="BH23" s="389"/>
      <c r="BI23" s="389"/>
      <c r="BJ23" s="389"/>
      <c r="BK23" s="389"/>
      <c r="BL23" s="389"/>
      <c r="BM23" s="389"/>
      <c r="BN23" s="389"/>
      <c r="BO23" s="389"/>
      <c r="BP23" s="389"/>
      <c r="BQ23" s="389"/>
      <c r="BR23" s="389"/>
      <c r="BS23" s="389"/>
      <c r="BT23" s="389"/>
      <c r="BU23" s="226"/>
    </row>
    <row r="24" spans="2:73" ht="6.95" customHeight="1" x14ac:dyDescent="0.15">
      <c r="B24" s="156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86"/>
      <c r="R24" s="387"/>
      <c r="S24" s="383"/>
      <c r="T24" s="384"/>
      <c r="U24" s="384"/>
      <c r="V24" s="384"/>
      <c r="W24" s="385"/>
      <c r="X24" s="224"/>
      <c r="Y24" s="390"/>
      <c r="Z24" s="390"/>
      <c r="AA24" s="390"/>
      <c r="AB24" s="390"/>
      <c r="AC24" s="390"/>
      <c r="AD24" s="390"/>
      <c r="AE24" s="390"/>
      <c r="AF24" s="390"/>
      <c r="AG24" s="390"/>
      <c r="AH24" s="390"/>
      <c r="AI24" s="390"/>
      <c r="AJ24" s="390"/>
      <c r="AK24" s="390"/>
      <c r="AL24" s="390"/>
      <c r="AM24" s="390"/>
      <c r="AN24" s="390"/>
      <c r="AO24" s="390"/>
      <c r="AP24" s="390"/>
      <c r="AQ24" s="390"/>
      <c r="AR24" s="390"/>
      <c r="AS24" s="390"/>
      <c r="AT24" s="185"/>
      <c r="AU24" s="225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89"/>
      <c r="BG24" s="389"/>
      <c r="BH24" s="389"/>
      <c r="BI24" s="389"/>
      <c r="BJ24" s="389"/>
      <c r="BK24" s="389"/>
      <c r="BL24" s="389"/>
      <c r="BM24" s="389"/>
      <c r="BN24" s="389"/>
      <c r="BO24" s="389"/>
      <c r="BP24" s="389"/>
      <c r="BQ24" s="389"/>
      <c r="BR24" s="389"/>
      <c r="BS24" s="389"/>
      <c r="BT24" s="389"/>
      <c r="BU24" s="226"/>
    </row>
    <row r="25" spans="2:73" ht="13.5" customHeight="1" x14ac:dyDescent="0.15">
      <c r="B25" s="156"/>
      <c r="C25" s="395"/>
      <c r="D25" s="395"/>
      <c r="E25" s="395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86"/>
      <c r="R25" s="387"/>
      <c r="S25" s="383"/>
      <c r="T25" s="384"/>
      <c r="U25" s="384"/>
      <c r="V25" s="384"/>
      <c r="W25" s="385"/>
      <c r="X25" s="224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  <c r="AL25" s="390"/>
      <c r="AM25" s="390"/>
      <c r="AN25" s="390"/>
      <c r="AO25" s="390"/>
      <c r="AP25" s="390"/>
      <c r="AQ25" s="390"/>
      <c r="AR25" s="390"/>
      <c r="AS25" s="390"/>
      <c r="AT25" s="185"/>
      <c r="AU25" s="225"/>
      <c r="AV25" s="389"/>
      <c r="AW25" s="389"/>
      <c r="AX25" s="389"/>
      <c r="AY25" s="389"/>
      <c r="AZ25" s="389"/>
      <c r="BA25" s="389"/>
      <c r="BB25" s="389"/>
      <c r="BC25" s="389"/>
      <c r="BD25" s="389"/>
      <c r="BE25" s="389"/>
      <c r="BF25" s="389"/>
      <c r="BG25" s="389"/>
      <c r="BH25" s="389"/>
      <c r="BI25" s="389"/>
      <c r="BJ25" s="389"/>
      <c r="BK25" s="389"/>
      <c r="BL25" s="389"/>
      <c r="BM25" s="389"/>
      <c r="BN25" s="389"/>
      <c r="BO25" s="389"/>
      <c r="BP25" s="389"/>
      <c r="BQ25" s="389"/>
      <c r="BR25" s="389"/>
      <c r="BS25" s="389"/>
      <c r="BT25" s="389"/>
      <c r="BU25" s="226"/>
    </row>
    <row r="26" spans="2:73" ht="6.95" customHeight="1" x14ac:dyDescent="0.15">
      <c r="B26" s="156"/>
      <c r="S26" s="383"/>
      <c r="T26" s="384"/>
      <c r="U26" s="384"/>
      <c r="V26" s="384"/>
      <c r="W26" s="385"/>
      <c r="X26" s="227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17"/>
      <c r="AV26" s="187"/>
      <c r="AW26" s="187"/>
      <c r="AX26" s="187"/>
      <c r="AY26" s="187"/>
      <c r="AZ26" s="187"/>
      <c r="BA26" s="187"/>
      <c r="BB26" s="187"/>
      <c r="BC26" s="187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9"/>
    </row>
    <row r="27" spans="2:73" ht="6.75" customHeight="1" x14ac:dyDescent="0.15">
      <c r="B27" s="156"/>
      <c r="S27" s="383"/>
      <c r="T27" s="384"/>
      <c r="U27" s="384"/>
      <c r="V27" s="384"/>
      <c r="W27" s="385"/>
      <c r="X27" s="219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1"/>
      <c r="AV27" s="192"/>
      <c r="AW27" s="192"/>
      <c r="AX27" s="192"/>
      <c r="AY27" s="192"/>
      <c r="AZ27" s="192"/>
      <c r="BA27" s="192"/>
      <c r="BB27" s="192"/>
      <c r="BC27" s="19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3"/>
    </row>
    <row r="28" spans="2:73" ht="18" customHeight="1" x14ac:dyDescent="0.15">
      <c r="B28" s="156"/>
      <c r="S28" s="383"/>
      <c r="T28" s="384"/>
      <c r="U28" s="384"/>
      <c r="V28" s="384"/>
      <c r="W28" s="385"/>
      <c r="X28" s="224"/>
      <c r="Y28" s="394" t="s">
        <v>51</v>
      </c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  <c r="AM28" s="390"/>
      <c r="AN28" s="390"/>
      <c r="AO28" s="390"/>
      <c r="AP28" s="390"/>
      <c r="AQ28" s="390"/>
      <c r="AR28" s="390"/>
      <c r="AS28" s="390"/>
      <c r="AT28" s="185"/>
      <c r="AU28" s="212"/>
      <c r="AV28" s="378" t="s">
        <v>119</v>
      </c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230"/>
    </row>
    <row r="29" spans="2:73" ht="18" customHeight="1" x14ac:dyDescent="0.15">
      <c r="B29" s="156"/>
      <c r="S29" s="383"/>
      <c r="T29" s="384"/>
      <c r="U29" s="384"/>
      <c r="V29" s="384"/>
      <c r="W29" s="385"/>
      <c r="X29" s="224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  <c r="AL29" s="390"/>
      <c r="AM29" s="390"/>
      <c r="AN29" s="390"/>
      <c r="AO29" s="390"/>
      <c r="AP29" s="390"/>
      <c r="AQ29" s="390"/>
      <c r="AR29" s="390"/>
      <c r="AS29" s="390"/>
      <c r="AT29" s="185"/>
      <c r="AU29" s="212"/>
      <c r="AV29" s="379" t="s">
        <v>52</v>
      </c>
      <c r="AW29" s="379"/>
      <c r="AX29" s="379"/>
      <c r="AY29" s="379"/>
      <c r="AZ29" s="379"/>
      <c r="BA29" s="379"/>
      <c r="BB29" s="379"/>
      <c r="BC29" s="379"/>
      <c r="BD29" s="379"/>
      <c r="BE29" s="379"/>
      <c r="BF29" s="379"/>
      <c r="BG29" s="379"/>
      <c r="BH29" s="379"/>
      <c r="BI29" s="379"/>
      <c r="BJ29" s="379"/>
      <c r="BK29" s="379"/>
      <c r="BL29" s="379"/>
      <c r="BM29" s="379"/>
      <c r="BN29" s="379"/>
      <c r="BO29" s="379"/>
      <c r="BP29" s="379"/>
      <c r="BQ29" s="379"/>
      <c r="BR29" s="379"/>
      <c r="BS29" s="379"/>
      <c r="BT29" s="379"/>
      <c r="BU29" s="230"/>
    </row>
    <row r="30" spans="2:73" ht="6.75" customHeight="1" x14ac:dyDescent="0.15">
      <c r="B30" s="156"/>
      <c r="S30" s="383"/>
      <c r="T30" s="384"/>
      <c r="U30" s="384"/>
      <c r="V30" s="384"/>
      <c r="W30" s="385"/>
      <c r="X30" s="224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212"/>
      <c r="AV30" s="179"/>
      <c r="AW30" s="179"/>
      <c r="AX30" s="179"/>
      <c r="AY30" s="179"/>
      <c r="AZ30" s="179"/>
      <c r="BA30" s="179"/>
      <c r="BB30" s="179"/>
      <c r="BC30" s="179"/>
      <c r="BD30" s="231"/>
      <c r="BE30" s="231"/>
      <c r="BF30" s="231"/>
      <c r="BG30" s="231"/>
      <c r="BH30" s="231"/>
      <c r="BI30" s="231"/>
      <c r="BJ30" s="231"/>
      <c r="BK30" s="231"/>
      <c r="BL30" s="231"/>
      <c r="BM30" s="231"/>
      <c r="BN30" s="231"/>
      <c r="BO30" s="231"/>
      <c r="BP30" s="231"/>
      <c r="BQ30" s="231"/>
      <c r="BR30" s="231"/>
      <c r="BS30" s="231"/>
      <c r="BT30" s="231"/>
      <c r="BU30" s="230"/>
    </row>
    <row r="31" spans="2:73" ht="6.75" customHeight="1" x14ac:dyDescent="0.1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18"/>
      <c r="T31" s="218"/>
      <c r="U31" s="218"/>
      <c r="V31" s="218"/>
      <c r="W31" s="218"/>
      <c r="X31" s="192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192"/>
      <c r="AW31" s="192"/>
      <c r="AX31" s="192"/>
      <c r="AY31" s="192"/>
      <c r="AZ31" s="192"/>
      <c r="BA31" s="192"/>
      <c r="BB31" s="192"/>
      <c r="BC31" s="19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3"/>
    </row>
    <row r="32" spans="2:73" ht="6.75" customHeight="1" x14ac:dyDescent="0.15">
      <c r="B32" s="391" t="s">
        <v>24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3" t="s">
        <v>13</v>
      </c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77" t="s">
        <v>25</v>
      </c>
      <c r="AV32" s="377"/>
      <c r="AW32" s="377"/>
      <c r="AX32" s="377"/>
      <c r="AY32" s="377"/>
      <c r="AZ32" s="377"/>
      <c r="BA32" s="377"/>
      <c r="BB32" s="377"/>
      <c r="BC32" s="377"/>
      <c r="BD32" s="377"/>
      <c r="BE32" s="377"/>
      <c r="BF32" s="235"/>
      <c r="BG32" s="235"/>
      <c r="BH32" s="235"/>
      <c r="BI32" s="235"/>
      <c r="BJ32" s="235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6"/>
    </row>
    <row r="33" spans="2:94" ht="15.75" customHeight="1" x14ac:dyDescent="0.15">
      <c r="B33" s="391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  <c r="AD33" s="392"/>
      <c r="AE33" s="392"/>
      <c r="AF33" s="392"/>
      <c r="AG33" s="392"/>
      <c r="AH33" s="392"/>
      <c r="AI33" s="392"/>
      <c r="AJ33" s="393"/>
      <c r="AK33" s="393"/>
      <c r="AL33" s="393"/>
      <c r="AM33" s="393"/>
      <c r="AN33" s="393"/>
      <c r="AO33" s="393"/>
      <c r="AP33" s="393"/>
      <c r="AQ33" s="393"/>
      <c r="AR33" s="393"/>
      <c r="AS33" s="393"/>
      <c r="AT33" s="393"/>
      <c r="AU33" s="377"/>
      <c r="AV33" s="377"/>
      <c r="AW33" s="377"/>
      <c r="AX33" s="377"/>
      <c r="AY33" s="377"/>
      <c r="AZ33" s="377"/>
      <c r="BA33" s="377"/>
      <c r="BB33" s="377"/>
      <c r="BC33" s="377"/>
      <c r="BD33" s="377"/>
      <c r="BE33" s="377"/>
      <c r="BF33" s="235"/>
      <c r="BG33" s="235"/>
      <c r="BH33" s="235"/>
      <c r="BI33" s="235"/>
      <c r="BJ33" s="235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6"/>
    </row>
    <row r="34" spans="2:94" ht="6.75" customHeight="1" x14ac:dyDescent="0.15">
      <c r="B34" s="391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2"/>
      <c r="AI34" s="392"/>
      <c r="AJ34" s="393" t="s">
        <v>14</v>
      </c>
      <c r="AK34" s="393"/>
      <c r="AL34" s="393"/>
      <c r="AM34" s="393"/>
      <c r="AN34" s="393"/>
      <c r="AO34" s="393"/>
      <c r="AP34" s="393"/>
      <c r="AQ34" s="393"/>
      <c r="AR34" s="393"/>
      <c r="AS34" s="393"/>
      <c r="AT34" s="393"/>
      <c r="AU34" s="377"/>
      <c r="AV34" s="377"/>
      <c r="AW34" s="377"/>
      <c r="AX34" s="377"/>
      <c r="AY34" s="377"/>
      <c r="AZ34" s="377"/>
      <c r="BA34" s="377"/>
      <c r="BB34" s="377"/>
      <c r="BC34" s="377"/>
      <c r="BD34" s="377"/>
      <c r="BE34" s="377"/>
      <c r="BF34" s="235"/>
      <c r="BG34" s="235"/>
      <c r="BH34" s="235"/>
      <c r="BI34" s="235"/>
      <c r="BJ34" s="235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6"/>
    </row>
    <row r="35" spans="2:94" ht="15" customHeight="1" x14ac:dyDescent="0.15">
      <c r="B35" s="391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  <c r="AD35" s="392"/>
      <c r="AE35" s="392"/>
      <c r="AF35" s="392"/>
      <c r="AG35" s="392"/>
      <c r="AH35" s="392"/>
      <c r="AI35" s="392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77"/>
      <c r="AV35" s="377"/>
      <c r="AW35" s="377"/>
      <c r="AX35" s="377"/>
      <c r="AY35" s="377"/>
      <c r="AZ35" s="377"/>
      <c r="BA35" s="377"/>
      <c r="BB35" s="377"/>
      <c r="BC35" s="377"/>
      <c r="BD35" s="377"/>
      <c r="BE35" s="377"/>
      <c r="BF35" s="235"/>
      <c r="BG35" s="235"/>
      <c r="BH35" s="235"/>
      <c r="BI35" s="235"/>
      <c r="BJ35" s="235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6"/>
    </row>
    <row r="36" spans="2:94" ht="6.75" customHeight="1" x14ac:dyDescent="0.15">
      <c r="B36" s="237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8"/>
      <c r="BK36" s="238"/>
      <c r="BL36" s="238"/>
      <c r="BM36" s="238"/>
      <c r="BN36" s="238"/>
      <c r="BO36" s="238"/>
      <c r="BP36" s="238"/>
      <c r="BQ36" s="238"/>
      <c r="BR36" s="238"/>
      <c r="BS36" s="238"/>
      <c r="BT36" s="238"/>
      <c r="BU36" s="239"/>
    </row>
    <row r="37" spans="2:94" ht="9.9499999999999993" customHeight="1" x14ac:dyDescent="0.15">
      <c r="B37" s="417"/>
      <c r="C37" s="418"/>
      <c r="D37" s="418"/>
      <c r="E37" s="418"/>
      <c r="F37" s="418"/>
      <c r="G37" s="418"/>
      <c r="H37" s="4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Y37" s="418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  <c r="AO37" s="418"/>
      <c r="AP37" s="418"/>
      <c r="AQ37" s="418"/>
      <c r="AR37" s="418"/>
      <c r="AS37" s="418"/>
      <c r="AT37" s="418"/>
      <c r="AU37" s="418"/>
      <c r="AV37" s="418"/>
      <c r="AW37" s="418"/>
      <c r="AX37" s="418"/>
      <c r="AY37" s="418"/>
      <c r="AZ37" s="418"/>
      <c r="BA37" s="418"/>
      <c r="BB37" s="418"/>
      <c r="BC37" s="418"/>
      <c r="BD37" s="418"/>
      <c r="BE37" s="418"/>
      <c r="BF37" s="418"/>
      <c r="BG37" s="418"/>
      <c r="BH37" s="418"/>
      <c r="BI37" s="418"/>
      <c r="BJ37" s="418"/>
      <c r="BK37" s="418"/>
      <c r="BL37" s="418"/>
      <c r="BM37" s="418"/>
      <c r="BN37" s="418"/>
      <c r="BO37" s="418"/>
      <c r="BP37" s="418"/>
      <c r="BQ37" s="418"/>
      <c r="BR37" s="418"/>
      <c r="BS37" s="418"/>
      <c r="BT37" s="418"/>
      <c r="BU37" s="419"/>
    </row>
    <row r="38" spans="2:94" ht="15" customHeight="1" x14ac:dyDescent="0.15">
      <c r="B38" s="241"/>
      <c r="C38" s="242" t="s">
        <v>7</v>
      </c>
      <c r="D38" s="414" t="s">
        <v>28</v>
      </c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00" t="s">
        <v>30</v>
      </c>
      <c r="U38" s="400"/>
      <c r="V38" s="400"/>
      <c r="W38" s="400"/>
      <c r="X38" s="400"/>
      <c r="Y38" s="400"/>
      <c r="Z38" s="400"/>
      <c r="AA38" s="400"/>
      <c r="AB38" s="400"/>
      <c r="AC38" s="400"/>
      <c r="AD38" s="400"/>
      <c r="AE38" s="400"/>
      <c r="AF38" s="400"/>
      <c r="AG38" s="400"/>
      <c r="AH38" s="400"/>
      <c r="AI38" s="400"/>
      <c r="AJ38" s="400"/>
      <c r="AK38" s="400"/>
      <c r="AL38" s="400"/>
      <c r="AM38" s="400"/>
      <c r="AN38" s="400"/>
      <c r="AO38" s="400"/>
      <c r="AP38" s="400"/>
      <c r="AQ38" s="400"/>
      <c r="AR38" s="400"/>
      <c r="AS38" s="400"/>
      <c r="AT38" s="400"/>
      <c r="AU38" s="400"/>
      <c r="AV38" s="400"/>
      <c r="AW38" s="414" t="s">
        <v>116</v>
      </c>
      <c r="AX38" s="414"/>
      <c r="AY38" s="414"/>
      <c r="AZ38" s="414"/>
      <c r="BA38" s="414"/>
      <c r="BB38" s="414"/>
      <c r="BC38" s="414"/>
      <c r="BD38" s="414"/>
      <c r="BE38" s="414"/>
      <c r="BF38" s="414"/>
      <c r="BG38" s="414"/>
      <c r="BH38" s="414"/>
      <c r="BI38" s="414"/>
      <c r="BJ38" s="414"/>
      <c r="BK38" s="414"/>
      <c r="BL38" s="414"/>
      <c r="BM38" s="414"/>
      <c r="BN38" s="414"/>
      <c r="BO38" s="414"/>
      <c r="BP38" s="414"/>
      <c r="BQ38" s="414"/>
      <c r="BR38" s="414"/>
      <c r="BS38" s="414"/>
      <c r="BT38" s="414"/>
      <c r="BU38" s="488"/>
    </row>
    <row r="39" spans="2:94" ht="15" customHeight="1" x14ac:dyDescent="0.15">
      <c r="B39" s="156"/>
      <c r="C39" s="243"/>
      <c r="D39" s="414"/>
      <c r="E39" s="414"/>
      <c r="F39" s="414"/>
      <c r="G39" s="414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00" t="s">
        <v>29</v>
      </c>
      <c r="U39" s="400"/>
      <c r="V39" s="400"/>
      <c r="W39" s="400"/>
      <c r="X39" s="400"/>
      <c r="Y39" s="400"/>
      <c r="Z39" s="400"/>
      <c r="AA39" s="400"/>
      <c r="AB39" s="400"/>
      <c r="AC39" s="400"/>
      <c r="AD39" s="400"/>
      <c r="AE39" s="400"/>
      <c r="AF39" s="400"/>
      <c r="AG39" s="400"/>
      <c r="AH39" s="400"/>
      <c r="AI39" s="400"/>
      <c r="AJ39" s="400"/>
      <c r="AK39" s="400"/>
      <c r="AL39" s="400"/>
      <c r="AM39" s="400"/>
      <c r="AN39" s="400"/>
      <c r="AO39" s="400"/>
      <c r="AP39" s="400"/>
      <c r="AQ39" s="400"/>
      <c r="AR39" s="400"/>
      <c r="AS39" s="400"/>
      <c r="AT39" s="400"/>
      <c r="AU39" s="400"/>
      <c r="AV39" s="400"/>
      <c r="AW39" s="414"/>
      <c r="AX39" s="414"/>
      <c r="AY39" s="414"/>
      <c r="AZ39" s="414"/>
      <c r="BA39" s="414"/>
      <c r="BB39" s="414"/>
      <c r="BC39" s="414"/>
      <c r="BD39" s="414"/>
      <c r="BE39" s="414"/>
      <c r="BF39" s="414"/>
      <c r="BG39" s="414"/>
      <c r="BH39" s="414"/>
      <c r="BI39" s="414"/>
      <c r="BJ39" s="414"/>
      <c r="BK39" s="414"/>
      <c r="BL39" s="414"/>
      <c r="BM39" s="414"/>
      <c r="BN39" s="414"/>
      <c r="BO39" s="414"/>
      <c r="BP39" s="414"/>
      <c r="BQ39" s="414"/>
      <c r="BR39" s="414"/>
      <c r="BS39" s="414"/>
      <c r="BT39" s="414"/>
      <c r="BU39" s="488"/>
    </row>
    <row r="40" spans="2:94" ht="9.9499999999999993" customHeight="1" x14ac:dyDescent="0.15">
      <c r="B40" s="156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0"/>
    </row>
    <row r="41" spans="2:94" ht="18" customHeight="1" x14ac:dyDescent="0.15">
      <c r="B41" s="232"/>
      <c r="C41" s="415" t="s">
        <v>32</v>
      </c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245"/>
      <c r="Q41" s="404" t="s">
        <v>33</v>
      </c>
      <c r="R41" s="405"/>
      <c r="S41" s="405"/>
      <c r="T41" s="405"/>
      <c r="U41" s="405"/>
      <c r="V41" s="405"/>
      <c r="W41" s="405"/>
      <c r="X41" s="405"/>
      <c r="Y41" s="405"/>
      <c r="Z41" s="405"/>
      <c r="AA41" s="405"/>
      <c r="AB41" s="405"/>
      <c r="AC41" s="405"/>
      <c r="AD41" s="405"/>
      <c r="AE41" s="405"/>
      <c r="AF41" s="405"/>
      <c r="AG41" s="405"/>
      <c r="AH41" s="405"/>
      <c r="AI41" s="405"/>
      <c r="AJ41" s="405"/>
      <c r="AK41" s="405"/>
      <c r="AL41" s="405"/>
      <c r="AM41" s="405"/>
      <c r="AN41" s="405"/>
      <c r="AO41" s="405"/>
      <c r="AP41" s="405"/>
      <c r="AQ41" s="405"/>
      <c r="AR41" s="405"/>
      <c r="AS41" s="405"/>
      <c r="AT41" s="405"/>
      <c r="AU41" s="405"/>
      <c r="AV41" s="405"/>
      <c r="AW41" s="405"/>
      <c r="AX41" s="405"/>
      <c r="AY41" s="405"/>
      <c r="AZ41" s="405"/>
      <c r="BA41" s="405"/>
      <c r="BB41" s="405"/>
      <c r="BC41" s="405"/>
      <c r="BD41" s="405"/>
      <c r="BE41" s="405"/>
      <c r="BF41" s="405"/>
      <c r="BG41" s="405"/>
      <c r="BH41" s="405"/>
      <c r="BI41" s="405"/>
      <c r="BJ41" s="405"/>
      <c r="BK41" s="405"/>
      <c r="BL41" s="405"/>
      <c r="BM41" s="405"/>
      <c r="BN41" s="405"/>
      <c r="BO41" s="405"/>
      <c r="BP41" s="405"/>
      <c r="BQ41" s="405"/>
      <c r="BR41" s="405"/>
      <c r="BS41" s="405"/>
      <c r="BT41" s="405"/>
      <c r="BU41" s="406"/>
      <c r="CA41" s="146" t="str">
        <f>基本データ!E1</f>
        <v>令和</v>
      </c>
      <c r="CC41" s="401"/>
      <c r="CD41" s="401"/>
      <c r="CE41" s="401"/>
      <c r="CF41" s="401"/>
    </row>
    <row r="42" spans="2:94" ht="18" customHeight="1" x14ac:dyDescent="0.15">
      <c r="B42" s="15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243"/>
      <c r="Q42" s="407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9"/>
      <c r="CA42" s="146" t="s">
        <v>67</v>
      </c>
      <c r="CC42" s="401"/>
      <c r="CD42" s="401"/>
      <c r="CE42" s="401"/>
      <c r="CF42" s="401"/>
    </row>
    <row r="43" spans="2:94" ht="18" customHeight="1" x14ac:dyDescent="0.15">
      <c r="B43" s="246"/>
      <c r="C43" s="441" t="s">
        <v>9</v>
      </c>
      <c r="D43" s="441"/>
      <c r="E43" s="441"/>
      <c r="F43" s="441"/>
      <c r="G43" s="441"/>
      <c r="H43" s="441"/>
      <c r="I43" s="441"/>
      <c r="J43" s="441"/>
      <c r="K43" s="441"/>
      <c r="L43" s="441"/>
      <c r="M43" s="441"/>
      <c r="N43" s="441"/>
      <c r="O43" s="441"/>
      <c r="P43" s="248"/>
      <c r="Q43" s="249"/>
      <c r="R43" s="410" t="str">
        <f>基本データ!E1</f>
        <v>令和</v>
      </c>
      <c r="S43" s="410"/>
      <c r="T43" s="410"/>
      <c r="U43" s="410"/>
      <c r="V43" s="410"/>
      <c r="W43" s="396">
        <v>7</v>
      </c>
      <c r="X43" s="396"/>
      <c r="Y43" s="396"/>
      <c r="Z43" s="396"/>
      <c r="AA43" s="402" t="s">
        <v>36</v>
      </c>
      <c r="AB43" s="402"/>
      <c r="AC43" s="402"/>
      <c r="AD43" s="396">
        <v>4</v>
      </c>
      <c r="AE43" s="396"/>
      <c r="AF43" s="396"/>
      <c r="AG43" s="396"/>
      <c r="AH43" s="412" t="s">
        <v>37</v>
      </c>
      <c r="AI43" s="412"/>
      <c r="AJ43" s="412"/>
      <c r="AK43" s="412"/>
      <c r="AL43" s="412"/>
      <c r="AM43" s="412"/>
      <c r="AN43" s="412"/>
      <c r="AO43" s="412"/>
      <c r="AP43" s="412"/>
      <c r="AQ43" s="412"/>
      <c r="AR43" s="398" t="str">
        <f>CB45&amp;"分まで"</f>
        <v>令和7年6月分まで</v>
      </c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251"/>
      <c r="BO43" s="251"/>
      <c r="BP43" s="251"/>
      <c r="BQ43" s="251"/>
      <c r="BR43" s="251"/>
      <c r="BS43" s="251"/>
      <c r="BT43" s="251"/>
      <c r="BU43" s="252"/>
      <c r="CA43" s="253">
        <f>DATE(基本データ!E2+W43,AD43,1)</f>
        <v>45748</v>
      </c>
      <c r="CB43" s="146" t="str">
        <f>$CA$41&amp;$W$43&amp;"年"&amp;MONTH(CA43)&amp;"月"</f>
        <v>令和7年4月</v>
      </c>
      <c r="CF43" s="396">
        <f>IF(AD43=12,W43+1,W43)</f>
        <v>7</v>
      </c>
      <c r="CG43" s="396"/>
      <c r="CH43" s="396"/>
      <c r="CI43" s="396"/>
      <c r="CJ43" s="402" t="s">
        <v>36</v>
      </c>
      <c r="CK43" s="402"/>
      <c r="CL43" s="402"/>
      <c r="CM43" s="396">
        <f>IF(AD43=1,4,IF(AD43=4,7,IF(AD43=7,10,1)))</f>
        <v>7</v>
      </c>
      <c r="CN43" s="396"/>
      <c r="CO43" s="396"/>
      <c r="CP43" s="396"/>
    </row>
    <row r="44" spans="2:94" ht="18" customHeight="1" x14ac:dyDescent="0.15">
      <c r="B44" s="254"/>
      <c r="C44" s="442"/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256"/>
      <c r="Q44" s="257"/>
      <c r="R44" s="411"/>
      <c r="S44" s="411"/>
      <c r="T44" s="411"/>
      <c r="U44" s="411"/>
      <c r="V44" s="411"/>
      <c r="W44" s="397"/>
      <c r="X44" s="397"/>
      <c r="Y44" s="397"/>
      <c r="Z44" s="397"/>
      <c r="AA44" s="403"/>
      <c r="AB44" s="403"/>
      <c r="AC44" s="403"/>
      <c r="AD44" s="397"/>
      <c r="AE44" s="397"/>
      <c r="AF44" s="397"/>
      <c r="AG44" s="397"/>
      <c r="AH44" s="413"/>
      <c r="AI44" s="413"/>
      <c r="AJ44" s="413"/>
      <c r="AK44" s="413"/>
      <c r="AL44" s="413"/>
      <c r="AM44" s="413"/>
      <c r="AN44" s="413"/>
      <c r="AO44" s="413"/>
      <c r="AP44" s="413"/>
      <c r="AQ44" s="413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399"/>
      <c r="BH44" s="399"/>
      <c r="BI44" s="399"/>
      <c r="BJ44" s="399"/>
      <c r="BK44" s="399"/>
      <c r="BL44" s="399"/>
      <c r="BM44" s="399"/>
      <c r="BN44" s="258"/>
      <c r="BO44" s="258"/>
      <c r="BP44" s="258"/>
      <c r="BQ44" s="258"/>
      <c r="BR44" s="258"/>
      <c r="BS44" s="258"/>
      <c r="BT44" s="258"/>
      <c r="BU44" s="259"/>
      <c r="CA44" s="253">
        <f>DATE(YEAR(CA43),MONTH(CA43)+1,1)</f>
        <v>45778</v>
      </c>
      <c r="CB44" s="146" t="str">
        <f>$CA$41&amp;$W$43&amp;"年"&amp;MONTH(CA44)&amp;"月"</f>
        <v>令和7年5月</v>
      </c>
      <c r="CE44" s="260"/>
      <c r="CF44" s="397"/>
      <c r="CG44" s="397"/>
      <c r="CH44" s="397"/>
      <c r="CI44" s="397"/>
      <c r="CJ44" s="403"/>
      <c r="CK44" s="403"/>
      <c r="CL44" s="403"/>
      <c r="CM44" s="397"/>
      <c r="CN44" s="397"/>
      <c r="CO44" s="397"/>
      <c r="CP44" s="397"/>
    </row>
    <row r="45" spans="2:94" ht="18" customHeight="1" x14ac:dyDescent="0.15">
      <c r="B45" s="246"/>
      <c r="C45" s="438" t="s">
        <v>26</v>
      </c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8"/>
      <c r="AP45" s="438"/>
      <c r="AQ45" s="438"/>
      <c r="AR45" s="438"/>
      <c r="AS45" s="438"/>
      <c r="AT45" s="438"/>
      <c r="AU45" s="438"/>
      <c r="AV45" s="438"/>
      <c r="AW45" s="438"/>
      <c r="AX45" s="261"/>
      <c r="AY45" s="422" t="s">
        <v>15</v>
      </c>
      <c r="AZ45" s="423"/>
      <c r="BA45" s="432">
        <f>附表１!O25</f>
        <v>0</v>
      </c>
      <c r="BB45" s="433"/>
      <c r="BC45" s="433"/>
      <c r="BD45" s="433"/>
      <c r="BE45" s="433"/>
      <c r="BF45" s="433"/>
      <c r="BG45" s="433"/>
      <c r="BH45" s="433"/>
      <c r="BI45" s="433"/>
      <c r="BJ45" s="433"/>
      <c r="BK45" s="433"/>
      <c r="BL45" s="433"/>
      <c r="BM45" s="433"/>
      <c r="BN45" s="433"/>
      <c r="BO45" s="433"/>
      <c r="BP45" s="433"/>
      <c r="BQ45" s="433"/>
      <c r="BR45" s="433"/>
      <c r="BS45" s="433"/>
      <c r="BT45" s="433"/>
      <c r="BU45" s="434"/>
      <c r="CA45" s="253">
        <f>DATE(YEAR(CA44),MONTH(CA44)+1,1)</f>
        <v>45809</v>
      </c>
      <c r="CB45" s="146" t="str">
        <f>$CA$41&amp;$W$43&amp;"年"&amp;MONTH(CA45)&amp;"月"</f>
        <v>令和7年6月</v>
      </c>
      <c r="CE45" s="260"/>
    </row>
    <row r="46" spans="2:94" ht="18" customHeight="1" x14ac:dyDescent="0.15">
      <c r="B46" s="254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421"/>
      <c r="V46" s="421"/>
      <c r="W46" s="421"/>
      <c r="X46" s="421"/>
      <c r="Y46" s="421"/>
      <c r="Z46" s="421"/>
      <c r="AA46" s="421"/>
      <c r="AB46" s="421"/>
      <c r="AC46" s="421"/>
      <c r="AD46" s="421"/>
      <c r="AE46" s="421"/>
      <c r="AF46" s="421"/>
      <c r="AG46" s="421"/>
      <c r="AH46" s="421"/>
      <c r="AI46" s="421"/>
      <c r="AJ46" s="421"/>
      <c r="AK46" s="421"/>
      <c r="AL46" s="421"/>
      <c r="AM46" s="421"/>
      <c r="AN46" s="421"/>
      <c r="AO46" s="421"/>
      <c r="AP46" s="421"/>
      <c r="AQ46" s="421"/>
      <c r="AR46" s="421"/>
      <c r="AS46" s="421"/>
      <c r="AT46" s="421"/>
      <c r="AU46" s="421"/>
      <c r="AV46" s="421"/>
      <c r="AW46" s="421"/>
      <c r="AX46" s="262"/>
      <c r="AY46" s="424"/>
      <c r="AZ46" s="425"/>
      <c r="BA46" s="435"/>
      <c r="BB46" s="436"/>
      <c r="BC46" s="436"/>
      <c r="BD46" s="436"/>
      <c r="BE46" s="436"/>
      <c r="BF46" s="436"/>
      <c r="BG46" s="436"/>
      <c r="BH46" s="436"/>
      <c r="BI46" s="436"/>
      <c r="BJ46" s="436"/>
      <c r="BK46" s="436"/>
      <c r="BL46" s="436"/>
      <c r="BM46" s="436"/>
      <c r="BN46" s="436"/>
      <c r="BO46" s="436"/>
      <c r="BP46" s="436"/>
      <c r="BQ46" s="436"/>
      <c r="BR46" s="436"/>
      <c r="BS46" s="436"/>
      <c r="BT46" s="436"/>
      <c r="BU46" s="437"/>
    </row>
    <row r="47" spans="2:94" ht="18" customHeight="1" x14ac:dyDescent="0.15">
      <c r="B47" s="263"/>
      <c r="C47" s="438" t="s">
        <v>27</v>
      </c>
      <c r="D47" s="438"/>
      <c r="E47" s="438"/>
      <c r="F47" s="438"/>
      <c r="G47" s="438"/>
      <c r="H47" s="438"/>
      <c r="I47" s="438"/>
      <c r="J47" s="438"/>
      <c r="K47" s="438"/>
      <c r="L47" s="438"/>
      <c r="M47" s="438"/>
      <c r="N47" s="438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8"/>
      <c r="AA47" s="438"/>
      <c r="AB47" s="438"/>
      <c r="AC47" s="438"/>
      <c r="AD47" s="438"/>
      <c r="AE47" s="438"/>
      <c r="AF47" s="438"/>
      <c r="AG47" s="438"/>
      <c r="AH47" s="438"/>
      <c r="AI47" s="438"/>
      <c r="AJ47" s="438"/>
      <c r="AK47" s="438"/>
      <c r="AL47" s="438"/>
      <c r="AM47" s="438"/>
      <c r="AN47" s="438"/>
      <c r="AO47" s="438"/>
      <c r="AP47" s="438"/>
      <c r="AQ47" s="438"/>
      <c r="AR47" s="438"/>
      <c r="AS47" s="438"/>
      <c r="AT47" s="438"/>
      <c r="AU47" s="438"/>
      <c r="AV47" s="438"/>
      <c r="AW47" s="438"/>
      <c r="AX47" s="264"/>
      <c r="AY47" s="422" t="s">
        <v>16</v>
      </c>
      <c r="AZ47" s="423"/>
      <c r="BA47" s="432">
        <f>附表１!AJ25</f>
        <v>0</v>
      </c>
      <c r="BB47" s="433"/>
      <c r="BC47" s="433"/>
      <c r="BD47" s="433"/>
      <c r="BE47" s="433"/>
      <c r="BF47" s="433"/>
      <c r="BG47" s="433"/>
      <c r="BH47" s="433"/>
      <c r="BI47" s="433"/>
      <c r="BJ47" s="433"/>
      <c r="BK47" s="433"/>
      <c r="BL47" s="433"/>
      <c r="BM47" s="433"/>
      <c r="BN47" s="433"/>
      <c r="BO47" s="433"/>
      <c r="BP47" s="433"/>
      <c r="BQ47" s="433"/>
      <c r="BR47" s="433"/>
      <c r="BS47" s="433"/>
      <c r="BT47" s="433"/>
      <c r="BU47" s="434"/>
    </row>
    <row r="48" spans="2:94" ht="18" customHeight="1" x14ac:dyDescent="0.15">
      <c r="B48" s="265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421"/>
      <c r="AJ48" s="421"/>
      <c r="AK48" s="421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264"/>
      <c r="AY48" s="386"/>
      <c r="AZ48" s="387"/>
      <c r="BA48" s="435"/>
      <c r="BB48" s="436"/>
      <c r="BC48" s="436"/>
      <c r="BD48" s="436"/>
      <c r="BE48" s="436"/>
      <c r="BF48" s="436"/>
      <c r="BG48" s="436"/>
      <c r="BH48" s="436"/>
      <c r="BI48" s="436"/>
      <c r="BJ48" s="436"/>
      <c r="BK48" s="436"/>
      <c r="BL48" s="436"/>
      <c r="BM48" s="436"/>
      <c r="BN48" s="436"/>
      <c r="BO48" s="436"/>
      <c r="BP48" s="436"/>
      <c r="BQ48" s="436"/>
      <c r="BR48" s="436"/>
      <c r="BS48" s="436"/>
      <c r="BT48" s="436"/>
      <c r="BU48" s="437"/>
    </row>
    <row r="49" spans="2:74" ht="18" customHeight="1" x14ac:dyDescent="0.15">
      <c r="B49" s="263"/>
      <c r="C49" s="438" t="s">
        <v>17</v>
      </c>
      <c r="D49" s="438"/>
      <c r="E49" s="438"/>
      <c r="F49" s="438"/>
      <c r="G49" s="438"/>
      <c r="H49" s="438"/>
      <c r="I49" s="438"/>
      <c r="J49" s="438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8"/>
      <c r="AA49" s="438"/>
      <c r="AB49" s="438"/>
      <c r="AC49" s="438"/>
      <c r="AD49" s="438"/>
      <c r="AE49" s="438"/>
      <c r="AF49" s="438"/>
      <c r="AG49" s="438"/>
      <c r="AH49" s="438"/>
      <c r="AI49" s="438"/>
      <c r="AJ49" s="438"/>
      <c r="AK49" s="438"/>
      <c r="AL49" s="438"/>
      <c r="AM49" s="438"/>
      <c r="AN49" s="438"/>
      <c r="AO49" s="438"/>
      <c r="AP49" s="438"/>
      <c r="AQ49" s="438"/>
      <c r="AR49" s="438"/>
      <c r="AS49" s="438"/>
      <c r="AT49" s="438"/>
      <c r="AU49" s="438"/>
      <c r="AV49" s="438"/>
      <c r="AW49" s="438"/>
      <c r="AX49" s="438"/>
      <c r="AY49" s="422"/>
      <c r="AZ49" s="423"/>
      <c r="BA49" s="426">
        <f>BA45*1000</f>
        <v>0</v>
      </c>
      <c r="BB49" s="427"/>
      <c r="BC49" s="427"/>
      <c r="BD49" s="427"/>
      <c r="BE49" s="427"/>
      <c r="BF49" s="427"/>
      <c r="BG49" s="427"/>
      <c r="BH49" s="427"/>
      <c r="BI49" s="427"/>
      <c r="BJ49" s="427"/>
      <c r="BK49" s="427"/>
      <c r="BL49" s="427"/>
      <c r="BM49" s="427"/>
      <c r="BN49" s="427"/>
      <c r="BO49" s="427"/>
      <c r="BP49" s="427"/>
      <c r="BQ49" s="427"/>
      <c r="BR49" s="427"/>
      <c r="BS49" s="427"/>
      <c r="BT49" s="427"/>
      <c r="BU49" s="428"/>
    </row>
    <row r="50" spans="2:74" ht="18" customHeight="1" x14ac:dyDescent="0.15">
      <c r="B50" s="266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21"/>
      <c r="AN50" s="421"/>
      <c r="AO50" s="421"/>
      <c r="AP50" s="421"/>
      <c r="AQ50" s="421"/>
      <c r="AR50" s="421"/>
      <c r="AS50" s="421"/>
      <c r="AT50" s="421"/>
      <c r="AU50" s="421"/>
      <c r="AV50" s="421"/>
      <c r="AW50" s="421"/>
      <c r="AX50" s="421"/>
      <c r="AY50" s="424"/>
      <c r="AZ50" s="425"/>
      <c r="BA50" s="429"/>
      <c r="BB50" s="430"/>
      <c r="BC50" s="430"/>
      <c r="BD50" s="430"/>
      <c r="BE50" s="430"/>
      <c r="BF50" s="430"/>
      <c r="BG50" s="430"/>
      <c r="BH50" s="430"/>
      <c r="BI50" s="430"/>
      <c r="BJ50" s="430"/>
      <c r="BK50" s="430"/>
      <c r="BL50" s="430"/>
      <c r="BM50" s="430"/>
      <c r="BN50" s="430"/>
      <c r="BO50" s="430"/>
      <c r="BP50" s="430"/>
      <c r="BQ50" s="430"/>
      <c r="BR50" s="430"/>
      <c r="BS50" s="430"/>
      <c r="BT50" s="430"/>
      <c r="BU50" s="431"/>
    </row>
    <row r="51" spans="2:74" ht="18" customHeight="1" x14ac:dyDescent="0.15">
      <c r="B51" s="265"/>
      <c r="C51" s="420" t="s">
        <v>18</v>
      </c>
      <c r="D51" s="420"/>
      <c r="E51" s="420"/>
      <c r="F51" s="420"/>
      <c r="G51" s="420"/>
      <c r="H51" s="420"/>
      <c r="I51" s="420"/>
      <c r="J51" s="420"/>
      <c r="K51" s="420"/>
      <c r="L51" s="420"/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  <c r="AK51" s="420"/>
      <c r="AL51" s="420"/>
      <c r="AM51" s="420"/>
      <c r="AN51" s="420"/>
      <c r="AO51" s="420"/>
      <c r="AP51" s="420"/>
      <c r="AQ51" s="420"/>
      <c r="AR51" s="420"/>
      <c r="AS51" s="420"/>
      <c r="AT51" s="420"/>
      <c r="AU51" s="420"/>
      <c r="AV51" s="420"/>
      <c r="AW51" s="420"/>
      <c r="AX51" s="420"/>
      <c r="AY51" s="422"/>
      <c r="AZ51" s="423"/>
      <c r="BA51" s="426">
        <f>BA47*1000</f>
        <v>0</v>
      </c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8"/>
    </row>
    <row r="52" spans="2:74" ht="18" customHeight="1" x14ac:dyDescent="0.15">
      <c r="B52" s="266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421"/>
      <c r="AK52" s="421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4"/>
      <c r="AZ52" s="425"/>
      <c r="BA52" s="429"/>
      <c r="BB52" s="430"/>
      <c r="BC52" s="430"/>
      <c r="BD52" s="430"/>
      <c r="BE52" s="430"/>
      <c r="BF52" s="430"/>
      <c r="BG52" s="430"/>
      <c r="BH52" s="430"/>
      <c r="BI52" s="430"/>
      <c r="BJ52" s="430"/>
      <c r="BK52" s="430"/>
      <c r="BL52" s="430"/>
      <c r="BM52" s="430"/>
      <c r="BN52" s="430"/>
      <c r="BO52" s="430"/>
      <c r="BP52" s="430"/>
      <c r="BQ52" s="430"/>
      <c r="BR52" s="430"/>
      <c r="BS52" s="430"/>
      <c r="BT52" s="430"/>
      <c r="BU52" s="431"/>
    </row>
    <row r="53" spans="2:74" ht="18" customHeight="1" x14ac:dyDescent="0.15">
      <c r="B53" s="263"/>
      <c r="C53" s="441" t="s">
        <v>19</v>
      </c>
      <c r="D53" s="441"/>
      <c r="E53" s="441"/>
      <c r="F53" s="441"/>
      <c r="G53" s="441"/>
      <c r="H53" s="441"/>
      <c r="I53" s="441"/>
      <c r="J53" s="441"/>
      <c r="K53" s="441"/>
      <c r="L53" s="441"/>
      <c r="M53" s="441"/>
      <c r="N53" s="441"/>
      <c r="O53" s="441"/>
      <c r="P53" s="247"/>
      <c r="Q53" s="445">
        <v>45869</v>
      </c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  <c r="BJ53" s="446"/>
      <c r="BK53" s="446"/>
      <c r="BL53" s="446"/>
      <c r="BM53" s="446"/>
      <c r="BN53" s="446"/>
      <c r="BO53" s="446"/>
      <c r="BP53" s="446"/>
      <c r="BQ53" s="446"/>
      <c r="BR53" s="446"/>
      <c r="BS53" s="446"/>
      <c r="BT53" s="446"/>
      <c r="BU53" s="447"/>
    </row>
    <row r="54" spans="2:74" ht="18" customHeight="1" x14ac:dyDescent="0.15">
      <c r="B54" s="267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255"/>
      <c r="Q54" s="448"/>
      <c r="R54" s="449"/>
      <c r="S54" s="449"/>
      <c r="T54" s="449"/>
      <c r="U54" s="449"/>
      <c r="V54" s="449"/>
      <c r="W54" s="449"/>
      <c r="X54" s="449"/>
      <c r="Y54" s="449"/>
      <c r="Z54" s="449"/>
      <c r="AA54" s="449"/>
      <c r="AB54" s="449"/>
      <c r="AC54" s="449"/>
      <c r="AD54" s="449"/>
      <c r="AE54" s="449"/>
      <c r="AF54" s="449"/>
      <c r="AG54" s="449"/>
      <c r="AH54" s="449"/>
      <c r="AI54" s="449"/>
      <c r="AJ54" s="449"/>
      <c r="AK54" s="449"/>
      <c r="AL54" s="449"/>
      <c r="AM54" s="449"/>
      <c r="AN54" s="449"/>
      <c r="AO54" s="449"/>
      <c r="AP54" s="449"/>
      <c r="AQ54" s="449"/>
      <c r="AR54" s="449"/>
      <c r="AS54" s="449"/>
      <c r="AT54" s="449"/>
      <c r="AU54" s="449"/>
      <c r="AV54" s="449"/>
      <c r="AW54" s="449"/>
      <c r="AX54" s="449"/>
      <c r="AY54" s="449"/>
      <c r="AZ54" s="449"/>
      <c r="BA54" s="449"/>
      <c r="BB54" s="449"/>
      <c r="BC54" s="449"/>
      <c r="BD54" s="449"/>
      <c r="BE54" s="449"/>
      <c r="BF54" s="449"/>
      <c r="BG54" s="449"/>
      <c r="BH54" s="449"/>
      <c r="BI54" s="449"/>
      <c r="BJ54" s="449"/>
      <c r="BK54" s="449"/>
      <c r="BL54" s="449"/>
      <c r="BM54" s="449"/>
      <c r="BN54" s="449"/>
      <c r="BO54" s="449"/>
      <c r="BP54" s="449"/>
      <c r="BQ54" s="449"/>
      <c r="BR54" s="449"/>
      <c r="BS54" s="449"/>
      <c r="BT54" s="449"/>
      <c r="BU54" s="450"/>
      <c r="BV54" s="268"/>
    </row>
    <row r="55" spans="2:74" ht="23.25" customHeight="1" x14ac:dyDescent="0.15">
      <c r="B55" s="269"/>
      <c r="C55" s="443" t="s">
        <v>10</v>
      </c>
      <c r="D55" s="443"/>
      <c r="E55" s="443"/>
      <c r="F55" s="443"/>
      <c r="G55" s="443"/>
      <c r="H55" s="443"/>
      <c r="I55" s="443"/>
      <c r="J55" s="443"/>
      <c r="K55" s="443"/>
      <c r="L55" s="443"/>
      <c r="M55" s="443"/>
      <c r="N55" s="443"/>
      <c r="O55" s="443"/>
      <c r="P55" s="270"/>
      <c r="Q55" s="451"/>
      <c r="R55" s="452"/>
      <c r="S55" s="452"/>
      <c r="T55" s="452"/>
      <c r="U55" s="452"/>
      <c r="V55" s="452"/>
      <c r="W55" s="452"/>
      <c r="X55" s="452"/>
      <c r="Y55" s="452"/>
      <c r="Z55" s="452"/>
      <c r="AA55" s="452"/>
      <c r="AB55" s="452"/>
      <c r="AC55" s="452"/>
      <c r="AD55" s="452"/>
      <c r="AE55" s="452"/>
      <c r="AF55" s="452"/>
      <c r="AG55" s="452"/>
      <c r="AH55" s="452"/>
      <c r="AI55" s="452"/>
      <c r="AJ55" s="452"/>
      <c r="AK55" s="452"/>
      <c r="AL55" s="452"/>
      <c r="AM55" s="452"/>
      <c r="AN55" s="452"/>
      <c r="AO55" s="452"/>
      <c r="AP55" s="452"/>
      <c r="AQ55" s="452"/>
      <c r="AR55" s="452"/>
      <c r="AS55" s="452"/>
      <c r="AT55" s="452"/>
      <c r="AU55" s="452"/>
      <c r="AV55" s="452"/>
      <c r="AW55" s="452"/>
      <c r="AX55" s="452"/>
      <c r="AY55" s="452"/>
      <c r="AZ55" s="452"/>
      <c r="BA55" s="452"/>
      <c r="BB55" s="452"/>
      <c r="BC55" s="452"/>
      <c r="BD55" s="452"/>
      <c r="BE55" s="452"/>
      <c r="BF55" s="452"/>
      <c r="BG55" s="452"/>
      <c r="BH55" s="452"/>
      <c r="BI55" s="452"/>
      <c r="BJ55" s="452"/>
      <c r="BK55" s="452"/>
      <c r="BL55" s="452"/>
      <c r="BM55" s="452"/>
      <c r="BN55" s="452"/>
      <c r="BO55" s="452"/>
      <c r="BP55" s="452"/>
      <c r="BQ55" s="452"/>
      <c r="BR55" s="452"/>
      <c r="BS55" s="452"/>
      <c r="BT55" s="452"/>
      <c r="BU55" s="453"/>
      <c r="BV55" s="268"/>
    </row>
    <row r="56" spans="2:74" ht="23.25" customHeight="1" x14ac:dyDescent="0.15">
      <c r="B56" s="271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272"/>
      <c r="Q56" s="454"/>
      <c r="R56" s="455"/>
      <c r="S56" s="455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5"/>
      <c r="AL56" s="455"/>
      <c r="AM56" s="455"/>
      <c r="AN56" s="455"/>
      <c r="AO56" s="455"/>
      <c r="AP56" s="455"/>
      <c r="AQ56" s="455"/>
      <c r="AR56" s="455"/>
      <c r="AS56" s="455"/>
      <c r="AT56" s="455"/>
      <c r="AU56" s="455"/>
      <c r="AV56" s="455"/>
      <c r="AW56" s="455"/>
      <c r="AX56" s="455"/>
      <c r="AY56" s="455"/>
      <c r="AZ56" s="455"/>
      <c r="BA56" s="455"/>
      <c r="BB56" s="455"/>
      <c r="BC56" s="455"/>
      <c r="BD56" s="455"/>
      <c r="BE56" s="455"/>
      <c r="BF56" s="455"/>
      <c r="BG56" s="455"/>
      <c r="BH56" s="455"/>
      <c r="BI56" s="455"/>
      <c r="BJ56" s="455"/>
      <c r="BK56" s="455"/>
      <c r="BL56" s="455"/>
      <c r="BM56" s="455"/>
      <c r="BN56" s="455"/>
      <c r="BO56" s="455"/>
      <c r="BP56" s="455"/>
      <c r="BQ56" s="455"/>
      <c r="BR56" s="455"/>
      <c r="BS56" s="455"/>
      <c r="BT56" s="455"/>
      <c r="BU56" s="456"/>
      <c r="BV56" s="268"/>
    </row>
    <row r="57" spans="2:74" s="158" customFormat="1" ht="4.5" customHeight="1" x14ac:dyDescent="0.15">
      <c r="B57" s="273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50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4"/>
      <c r="BJ57" s="274"/>
      <c r="BK57" s="274"/>
      <c r="BL57" s="274"/>
      <c r="BM57" s="274"/>
      <c r="BN57" s="274"/>
      <c r="BO57" s="274"/>
      <c r="BP57" s="274"/>
      <c r="BQ57" s="274"/>
      <c r="BR57" s="275"/>
      <c r="BS57" s="275"/>
      <c r="BT57" s="275"/>
      <c r="BU57" s="276"/>
    </row>
    <row r="58" spans="2:74" s="277" customFormat="1" ht="13.5" customHeight="1" x14ac:dyDescent="0.15">
      <c r="B58" s="204" t="s">
        <v>6</v>
      </c>
      <c r="C58" s="278"/>
      <c r="D58" s="278"/>
      <c r="E58" s="439" t="s">
        <v>35</v>
      </c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  <c r="AH58" s="439"/>
      <c r="AI58" s="439"/>
      <c r="AJ58" s="439"/>
      <c r="AK58" s="439"/>
      <c r="AL58" s="439"/>
      <c r="AM58" s="439"/>
      <c r="AN58" s="439"/>
      <c r="AO58" s="439"/>
      <c r="AP58" s="439"/>
      <c r="AQ58" s="439"/>
      <c r="AR58" s="439"/>
      <c r="AS58" s="439"/>
      <c r="AT58" s="439"/>
      <c r="AU58" s="439"/>
      <c r="AV58" s="439"/>
      <c r="AW58" s="439"/>
      <c r="AX58" s="439"/>
      <c r="AY58" s="439"/>
      <c r="AZ58" s="439"/>
      <c r="BA58" s="439"/>
      <c r="BB58" s="439"/>
      <c r="BC58" s="439"/>
      <c r="BD58" s="439"/>
      <c r="BE58" s="439"/>
      <c r="BF58" s="439"/>
      <c r="BG58" s="439"/>
      <c r="BH58" s="439"/>
      <c r="BI58" s="439"/>
      <c r="BJ58" s="439"/>
      <c r="BK58" s="439"/>
      <c r="BL58" s="439"/>
      <c r="BM58" s="439"/>
      <c r="BN58" s="439"/>
      <c r="BO58" s="439"/>
      <c r="BP58" s="439"/>
      <c r="BQ58" s="439"/>
      <c r="BR58" s="439"/>
      <c r="BS58" s="439"/>
      <c r="BT58" s="439"/>
      <c r="BU58" s="440"/>
    </row>
    <row r="59" spans="2:74" ht="13.5" customHeight="1" x14ac:dyDescent="0.15">
      <c r="B59" s="204"/>
      <c r="C59" s="278"/>
      <c r="D59" s="278"/>
      <c r="E59" s="439" t="s">
        <v>34</v>
      </c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  <c r="AA59" s="439"/>
      <c r="AB59" s="439"/>
      <c r="AC59" s="439"/>
      <c r="AD59" s="439"/>
      <c r="AE59" s="439"/>
      <c r="AF59" s="439"/>
      <c r="AG59" s="439"/>
      <c r="AH59" s="439"/>
      <c r="AI59" s="439"/>
      <c r="AJ59" s="439"/>
      <c r="AK59" s="439"/>
      <c r="AL59" s="439"/>
      <c r="AM59" s="439"/>
      <c r="AN59" s="439"/>
      <c r="AO59" s="439"/>
      <c r="AP59" s="439"/>
      <c r="AQ59" s="439"/>
      <c r="AR59" s="439"/>
      <c r="AS59" s="439"/>
      <c r="AT59" s="439"/>
      <c r="AU59" s="439"/>
      <c r="AV59" s="439"/>
      <c r="AW59" s="439"/>
      <c r="AX59" s="439"/>
      <c r="AY59" s="439"/>
      <c r="AZ59" s="439"/>
      <c r="BA59" s="439"/>
      <c r="BB59" s="439"/>
      <c r="BC59" s="439"/>
      <c r="BD59" s="439"/>
      <c r="BE59" s="439"/>
      <c r="BF59" s="439"/>
      <c r="BG59" s="439"/>
      <c r="BH59" s="439"/>
      <c r="BI59" s="439"/>
      <c r="BJ59" s="439"/>
      <c r="BK59" s="439"/>
      <c r="BL59" s="439"/>
      <c r="BM59" s="439"/>
      <c r="BN59" s="439"/>
      <c r="BO59" s="439"/>
      <c r="BP59" s="439"/>
      <c r="BQ59" s="439"/>
      <c r="BR59" s="439"/>
      <c r="BS59" s="439"/>
      <c r="BT59" s="439"/>
      <c r="BU59" s="440"/>
    </row>
    <row r="60" spans="2:74" ht="13.5" customHeight="1" x14ac:dyDescent="0.15">
      <c r="B60" s="204"/>
      <c r="C60" s="278"/>
      <c r="D60" s="278"/>
      <c r="E60" s="439" t="s">
        <v>22</v>
      </c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  <c r="AA60" s="439"/>
      <c r="AB60" s="439"/>
      <c r="AC60" s="439"/>
      <c r="AD60" s="439"/>
      <c r="AE60" s="439"/>
      <c r="AF60" s="439"/>
      <c r="AG60" s="439"/>
      <c r="AH60" s="439"/>
      <c r="AI60" s="439"/>
      <c r="AJ60" s="439"/>
      <c r="AK60" s="439"/>
      <c r="AL60" s="439"/>
      <c r="AM60" s="439"/>
      <c r="AN60" s="439"/>
      <c r="AO60" s="439"/>
      <c r="AP60" s="439"/>
      <c r="AQ60" s="439"/>
      <c r="AR60" s="439"/>
      <c r="AS60" s="439"/>
      <c r="AT60" s="439"/>
      <c r="AU60" s="439"/>
      <c r="AV60" s="439"/>
      <c r="AW60" s="439"/>
      <c r="AX60" s="439"/>
      <c r="AY60" s="439"/>
      <c r="AZ60" s="439"/>
      <c r="BA60" s="439"/>
      <c r="BB60" s="439"/>
      <c r="BC60" s="439"/>
      <c r="BD60" s="439"/>
      <c r="BE60" s="439"/>
      <c r="BF60" s="439"/>
      <c r="BG60" s="439"/>
      <c r="BH60" s="439"/>
      <c r="BI60" s="439"/>
      <c r="BJ60" s="439"/>
      <c r="BK60" s="439"/>
      <c r="BL60" s="439"/>
      <c r="BM60" s="439"/>
      <c r="BN60" s="439"/>
      <c r="BO60" s="439"/>
      <c r="BP60" s="439"/>
      <c r="BQ60" s="439"/>
      <c r="BR60" s="439"/>
      <c r="BS60" s="439"/>
      <c r="BT60" s="439"/>
      <c r="BU60" s="440"/>
    </row>
    <row r="61" spans="2:74" ht="13.5" customHeight="1" x14ac:dyDescent="0.15">
      <c r="B61" s="204"/>
      <c r="C61" s="278"/>
      <c r="D61" s="278"/>
      <c r="E61" s="278" t="s">
        <v>23</v>
      </c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279"/>
    </row>
    <row r="62" spans="2:74" ht="13.5" customHeight="1" thickBot="1" x14ac:dyDescent="0.2">
      <c r="B62" s="280"/>
      <c r="C62" s="281"/>
      <c r="D62" s="281"/>
      <c r="E62" s="282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  <c r="AO62" s="281"/>
      <c r="AP62" s="281"/>
      <c r="AQ62" s="281"/>
      <c r="AR62" s="281"/>
      <c r="AS62" s="281"/>
      <c r="AT62" s="281"/>
      <c r="AU62" s="281"/>
      <c r="AV62" s="281"/>
      <c r="AW62" s="281"/>
      <c r="AX62" s="281"/>
      <c r="AY62" s="281"/>
      <c r="AZ62" s="281"/>
      <c r="BA62" s="281"/>
      <c r="BB62" s="281"/>
      <c r="BC62" s="281"/>
      <c r="BD62" s="281"/>
      <c r="BE62" s="281"/>
      <c r="BF62" s="281"/>
      <c r="BG62" s="281"/>
      <c r="BH62" s="281"/>
      <c r="BI62" s="281"/>
      <c r="BJ62" s="281"/>
      <c r="BK62" s="281"/>
      <c r="BL62" s="281"/>
      <c r="BM62" s="281"/>
      <c r="BN62" s="281"/>
      <c r="BO62" s="281"/>
      <c r="BP62" s="281"/>
      <c r="BQ62" s="281"/>
      <c r="BR62" s="281"/>
      <c r="BS62" s="281"/>
      <c r="BT62" s="281"/>
      <c r="BU62" s="283"/>
    </row>
    <row r="63" spans="2:74" ht="13.5" customHeight="1" x14ac:dyDescent="0.15"/>
  </sheetData>
  <sheetProtection selectLockedCells="1"/>
  <mergeCells count="85">
    <mergeCell ref="C18:Q18"/>
    <mergeCell ref="AW38:BU39"/>
    <mergeCell ref="E5:K6"/>
    <mergeCell ref="AC5:AS5"/>
    <mergeCell ref="BK5:BM5"/>
    <mergeCell ref="Y12:AS14"/>
    <mergeCell ref="C11:O11"/>
    <mergeCell ref="Y6:AS11"/>
    <mergeCell ref="C12:Q12"/>
    <mergeCell ref="S7:T20"/>
    <mergeCell ref="U7:W20"/>
    <mergeCell ref="BR15:BS16"/>
    <mergeCell ref="AZ20:BU21"/>
    <mergeCell ref="Y17:AS18"/>
    <mergeCell ref="BL15:BM16"/>
    <mergeCell ref="BN15:BO16"/>
    <mergeCell ref="Y20:AS21"/>
    <mergeCell ref="BT15:BU16"/>
    <mergeCell ref="BF15:BG16"/>
    <mergeCell ref="BH15:BI16"/>
    <mergeCell ref="AV17:BT18"/>
    <mergeCell ref="Y15:AS16"/>
    <mergeCell ref="AV15:AW16"/>
    <mergeCell ref="BD15:BE16"/>
    <mergeCell ref="BP15:BQ16"/>
    <mergeCell ref="AX15:AY16"/>
    <mergeCell ref="AZ15:BA16"/>
    <mergeCell ref="BB15:BC16"/>
    <mergeCell ref="BJ15:BK16"/>
    <mergeCell ref="BN5:BU5"/>
    <mergeCell ref="AV6:BT11"/>
    <mergeCell ref="BS12:BT14"/>
    <mergeCell ref="AV12:BR12"/>
    <mergeCell ref="AV13:BR13"/>
    <mergeCell ref="AV14:BR14"/>
    <mergeCell ref="AT5:BF5"/>
    <mergeCell ref="E60:BU60"/>
    <mergeCell ref="E59:BU59"/>
    <mergeCell ref="C43:O44"/>
    <mergeCell ref="C53:O54"/>
    <mergeCell ref="C55:O56"/>
    <mergeCell ref="Q53:BU54"/>
    <mergeCell ref="C47:AW48"/>
    <mergeCell ref="C49:AX50"/>
    <mergeCell ref="E58:BU58"/>
    <mergeCell ref="Q55:BU56"/>
    <mergeCell ref="B37:BU37"/>
    <mergeCell ref="CE41:CF42"/>
    <mergeCell ref="C51:AX52"/>
    <mergeCell ref="AY49:AZ50"/>
    <mergeCell ref="BA49:BU50"/>
    <mergeCell ref="BA45:BU46"/>
    <mergeCell ref="BA47:BU48"/>
    <mergeCell ref="AY45:AZ46"/>
    <mergeCell ref="AY51:AZ52"/>
    <mergeCell ref="AY47:AZ48"/>
    <mergeCell ref="BA51:BU52"/>
    <mergeCell ref="C45:AW46"/>
    <mergeCell ref="CM43:CP44"/>
    <mergeCell ref="AR43:BM44"/>
    <mergeCell ref="CF43:CI44"/>
    <mergeCell ref="T39:AV39"/>
    <mergeCell ref="CC41:CD42"/>
    <mergeCell ref="W43:Z44"/>
    <mergeCell ref="AA43:AC44"/>
    <mergeCell ref="Q41:BU42"/>
    <mergeCell ref="CJ43:CL44"/>
    <mergeCell ref="R43:V44"/>
    <mergeCell ref="AD43:AG44"/>
    <mergeCell ref="AH43:AQ44"/>
    <mergeCell ref="D38:S39"/>
    <mergeCell ref="C41:O42"/>
    <mergeCell ref="T38:AV38"/>
    <mergeCell ref="AU32:BE35"/>
    <mergeCell ref="AV28:BT28"/>
    <mergeCell ref="AV29:BT29"/>
    <mergeCell ref="S22:W30"/>
    <mergeCell ref="Q23:R25"/>
    <mergeCell ref="AV23:BT25"/>
    <mergeCell ref="Y23:AS25"/>
    <mergeCell ref="B32:AI35"/>
    <mergeCell ref="AJ32:AT33"/>
    <mergeCell ref="Y28:AS29"/>
    <mergeCell ref="C23:P25"/>
    <mergeCell ref="AJ34:AT35"/>
  </mergeCells>
  <phoneticPr fontId="2"/>
  <dataValidations count="4">
    <dataValidation type="list" imeMode="off" allowBlank="1" showInputMessage="1" showErrorMessage="1" sqref="AD43:AG44 CM43:CP44" xr:uid="{00000000-0002-0000-0100-000000000000}">
      <formula1>"1,4,7,10"</formula1>
    </dataValidation>
    <dataValidation imeMode="off" allowBlank="1" showInputMessage="1" showErrorMessage="1" sqref="W43:Z44 CF43:CI44" xr:uid="{00000000-0002-0000-0100-000001000000}"/>
    <dataValidation imeMode="hiragana" allowBlank="1" showInputMessage="1" showErrorMessage="1" sqref="AV12:AV15 AW12:BR14 AV28:BT28 AZ20:BU21 AV17:BT18 Q55:BU56 AV6:BT11 AV23:BT25 AX15 AZ15 BB15 BD15 BF15 BH15 BJ15 BL15 BN15 BP15 BR15 BT15" xr:uid="{00000000-0002-0000-0100-000002000000}"/>
    <dataValidation type="list" imeMode="hiragana" allowBlank="1" showInputMessage="1" showErrorMessage="1" sqref="AV29:BT29" xr:uid="{00000000-0002-0000-0100-000003000000}">
      <formula1>$CD$4:$CE$4</formula1>
    </dataValidation>
  </dataValidations>
  <pageMargins left="0.78740157480314965" right="0.59055118110236227" top="0.94488188976377963" bottom="0.39370078740157483" header="0.47244094488188981" footer="0.39370078740157483"/>
  <pageSetup paperSize="9" scale="94" fitToHeight="0" orientation="portrait" blackAndWhite="1" r:id="rId1"/>
  <headerFooter alignWithMargins="0">
    <oddHeader>&amp;L&amp;"ＭＳ 明朝,標準"&amp;12別記第５号様式（第５条、第９条関係）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CM31"/>
  <sheetViews>
    <sheetView showGridLines="0" zoomScale="70" zoomScaleNormal="100" zoomScaleSheetLayoutView="100" workbookViewId="0">
      <selection activeCell="O13" sqref="O13:AG14"/>
    </sheetView>
  </sheetViews>
  <sheetFormatPr defaultRowHeight="13.5" x14ac:dyDescent="0.15"/>
  <cols>
    <col min="1" max="1" width="2.75" style="1" customWidth="1"/>
    <col min="2" max="2" width="0.875" style="1" customWidth="1"/>
    <col min="3" max="76" width="1.125" style="1" customWidth="1"/>
    <col min="77" max="90" width="2.125" style="1" customWidth="1"/>
    <col min="91" max="92" width="0" style="1" hidden="1" customWidth="1"/>
    <col min="93" max="16384" width="9" style="1"/>
  </cols>
  <sheetData>
    <row r="2" spans="2:91" ht="13.5" customHeight="1" x14ac:dyDescent="0.15">
      <c r="C2" s="3"/>
      <c r="D2" s="3"/>
      <c r="E2" s="3"/>
      <c r="F2" s="3"/>
      <c r="G2" s="3"/>
      <c r="H2" s="7"/>
      <c r="I2" s="7"/>
      <c r="J2" s="7"/>
      <c r="K2" s="7"/>
      <c r="L2" s="7"/>
      <c r="M2" s="7"/>
      <c r="N2" s="7"/>
      <c r="T2" s="7"/>
      <c r="U2"/>
      <c r="V2"/>
      <c r="W2" s="4"/>
      <c r="X2" s="32"/>
      <c r="Y2" s="32"/>
      <c r="Z2" s="32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8"/>
      <c r="BA2" s="8"/>
      <c r="BG2" s="8"/>
      <c r="BJ2" s="36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</row>
    <row r="3" spans="2:91" ht="13.5" customHeight="1" x14ac:dyDescent="0.1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T3" s="3"/>
      <c r="U3"/>
      <c r="V3"/>
      <c r="W3" s="33"/>
      <c r="X3" s="38"/>
      <c r="Y3" s="38"/>
      <c r="Z3" s="38"/>
      <c r="AA3" s="33"/>
      <c r="AB3" s="39"/>
      <c r="AC3" s="39"/>
      <c r="AD3" s="286" t="s">
        <v>54</v>
      </c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"/>
      <c r="BA3" s="524" t="str">
        <f>納入・納付申告書!AV12</f>
        <v>有限会社　オー・エス収集センター</v>
      </c>
      <c r="BB3" s="524"/>
      <c r="BC3" s="524"/>
      <c r="BD3" s="524"/>
      <c r="BE3" s="524"/>
      <c r="BF3" s="524"/>
      <c r="BG3" s="524"/>
      <c r="BH3" s="524"/>
      <c r="BI3" s="524"/>
      <c r="BJ3" s="524"/>
      <c r="BK3" s="524"/>
      <c r="BL3" s="524"/>
      <c r="BM3" s="524"/>
      <c r="BN3" s="524"/>
      <c r="BO3" s="524"/>
      <c r="BP3" s="524"/>
      <c r="BQ3" s="524"/>
      <c r="BR3" s="524"/>
      <c r="BS3" s="524"/>
      <c r="BT3" s="524"/>
      <c r="BU3" s="524"/>
      <c r="BV3" s="524"/>
      <c r="BW3" s="524"/>
      <c r="BX3" s="524"/>
    </row>
    <row r="4" spans="2:91" ht="6.75" customHeight="1" x14ac:dyDescent="0.15">
      <c r="B4" s="2"/>
      <c r="C4" s="40"/>
      <c r="D4" s="41"/>
      <c r="E4" s="2"/>
      <c r="F4" s="2"/>
      <c r="G4" s="2"/>
      <c r="H4" s="2"/>
      <c r="I4" s="2"/>
      <c r="J4" s="42"/>
      <c r="K4" s="42"/>
      <c r="L4" s="42"/>
      <c r="M4" s="42"/>
      <c r="N4" s="42"/>
      <c r="O4" s="2"/>
      <c r="P4" s="2"/>
      <c r="Q4" s="2"/>
      <c r="R4" s="2"/>
      <c r="S4" s="2"/>
      <c r="T4" s="43"/>
      <c r="U4" s="43"/>
      <c r="V4" s="43"/>
      <c r="W4" s="44"/>
      <c r="X4" s="44"/>
      <c r="Y4" s="4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6"/>
      <c r="AT4" s="46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</row>
    <row r="5" spans="2:91" ht="40.5" customHeight="1" x14ac:dyDescent="0.15">
      <c r="B5" s="525" t="s">
        <v>55</v>
      </c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6"/>
      <c r="AB5" s="526"/>
      <c r="AC5" s="526"/>
      <c r="AD5" s="526"/>
      <c r="AE5" s="526"/>
      <c r="AF5" s="526"/>
      <c r="AG5" s="526"/>
      <c r="AH5" s="526"/>
      <c r="AI5" s="526"/>
      <c r="AJ5" s="526"/>
      <c r="AK5" s="526"/>
      <c r="AL5" s="526"/>
      <c r="AM5" s="526"/>
      <c r="AN5" s="526"/>
      <c r="AO5" s="526"/>
      <c r="AP5" s="526"/>
      <c r="AQ5" s="526"/>
      <c r="AR5" s="526"/>
      <c r="AS5" s="526"/>
      <c r="AT5" s="526"/>
      <c r="AU5" s="526"/>
      <c r="AV5" s="526"/>
      <c r="AW5" s="526"/>
      <c r="AX5" s="526"/>
      <c r="AY5" s="526"/>
      <c r="AZ5" s="526"/>
      <c r="BA5" s="526"/>
      <c r="BB5" s="526"/>
      <c r="BC5" s="526"/>
      <c r="BD5" s="526"/>
      <c r="BE5" s="526"/>
      <c r="BF5" s="526"/>
      <c r="BG5" s="526"/>
      <c r="BH5" s="526"/>
      <c r="BI5" s="526"/>
      <c r="BJ5" s="526"/>
      <c r="BK5" s="526"/>
      <c r="BL5" s="526"/>
      <c r="BM5" s="526"/>
      <c r="BN5" s="526"/>
      <c r="BO5" s="526"/>
      <c r="BP5" s="526"/>
      <c r="BQ5" s="526"/>
      <c r="BR5" s="526"/>
      <c r="BS5" s="526"/>
      <c r="BT5" s="526"/>
      <c r="BU5" s="526"/>
      <c r="BV5" s="526"/>
      <c r="BW5" s="526"/>
      <c r="BX5" s="527"/>
    </row>
    <row r="6" spans="2:91" ht="40.5" customHeight="1" x14ac:dyDescent="0.15">
      <c r="B6" s="536" t="s">
        <v>9</v>
      </c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37"/>
      <c r="S6" s="528" t="str">
        <f>納入・納付申告書!CB43&amp;"分から"&amp;納入・納付申告書!CB45&amp;"分まで"</f>
        <v>令和7年4月分から令和7年6月分まで</v>
      </c>
      <c r="T6" s="529"/>
      <c r="U6" s="529"/>
      <c r="V6" s="529"/>
      <c r="W6" s="529"/>
      <c r="X6" s="529"/>
      <c r="Y6" s="529"/>
      <c r="Z6" s="529"/>
      <c r="AA6" s="529"/>
      <c r="AB6" s="529"/>
      <c r="AC6" s="529"/>
      <c r="AD6" s="529"/>
      <c r="AE6" s="529"/>
      <c r="AF6" s="529"/>
      <c r="AG6" s="529"/>
      <c r="AH6" s="529"/>
      <c r="AI6" s="529"/>
      <c r="AJ6" s="529"/>
      <c r="AK6" s="529"/>
      <c r="AL6" s="529"/>
      <c r="AM6" s="529"/>
      <c r="AN6" s="529"/>
      <c r="AO6" s="529"/>
      <c r="AP6" s="529"/>
      <c r="AQ6" s="529"/>
      <c r="AR6" s="529"/>
      <c r="AS6" s="529"/>
      <c r="AT6" s="529"/>
      <c r="AU6" s="529"/>
      <c r="AV6" s="529"/>
      <c r="AW6" s="529"/>
      <c r="AX6" s="529"/>
      <c r="AY6" s="529"/>
      <c r="AZ6" s="529"/>
      <c r="BA6" s="529"/>
      <c r="BB6" s="529"/>
      <c r="BC6" s="529"/>
      <c r="BD6" s="529"/>
      <c r="BE6" s="529"/>
      <c r="BF6" s="529"/>
      <c r="BG6" s="529"/>
      <c r="BH6" s="529"/>
      <c r="BI6" s="529"/>
      <c r="BJ6" s="529"/>
      <c r="BK6" s="529"/>
      <c r="BL6" s="529"/>
      <c r="BM6" s="529"/>
      <c r="BN6" s="529"/>
      <c r="BO6" s="529"/>
      <c r="BP6" s="529"/>
      <c r="BQ6" s="529"/>
      <c r="BR6" s="529"/>
      <c r="BS6" s="529"/>
      <c r="BT6" s="529"/>
      <c r="BU6" s="529"/>
      <c r="BV6" s="529"/>
      <c r="BW6" s="529"/>
      <c r="BX6" s="530"/>
      <c r="CM6" s="1" t="s">
        <v>68</v>
      </c>
    </row>
    <row r="7" spans="2:91" ht="8.25" customHeight="1" x14ac:dyDescent="0.15">
      <c r="B7" s="532" t="s">
        <v>56</v>
      </c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533"/>
      <c r="N7" s="30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8"/>
      <c r="AI7" s="30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8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47"/>
    </row>
    <row r="8" spans="2:91" ht="17.25" customHeight="1" x14ac:dyDescent="0.15">
      <c r="B8" s="363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534"/>
      <c r="N8" s="48"/>
      <c r="O8" s="504" t="s">
        <v>57</v>
      </c>
      <c r="P8" s="504"/>
      <c r="Q8" s="504"/>
      <c r="R8" s="504"/>
      <c r="S8" s="504"/>
      <c r="T8" s="504"/>
      <c r="U8" s="504"/>
      <c r="V8" s="504"/>
      <c r="W8" s="504"/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9"/>
      <c r="AI8" s="48"/>
      <c r="AJ8" s="504" t="s">
        <v>58</v>
      </c>
      <c r="AK8" s="504"/>
      <c r="AL8" s="504"/>
      <c r="AM8" s="504"/>
      <c r="AN8" s="504"/>
      <c r="AO8" s="504"/>
      <c r="AP8" s="504"/>
      <c r="AQ8" s="504"/>
      <c r="AR8" s="504"/>
      <c r="AS8" s="504"/>
      <c r="AT8" s="504"/>
      <c r="AU8" s="504"/>
      <c r="AV8" s="504"/>
      <c r="AW8" s="504"/>
      <c r="AX8" s="504"/>
      <c r="AY8" s="504"/>
      <c r="AZ8" s="504"/>
      <c r="BA8" s="504"/>
      <c r="BB8" s="504"/>
      <c r="BC8" s="9"/>
      <c r="BD8" s="7"/>
      <c r="BE8" s="504" t="s">
        <v>59</v>
      </c>
      <c r="BF8" s="504"/>
      <c r="BG8" s="504"/>
      <c r="BH8" s="504"/>
      <c r="BI8" s="504"/>
      <c r="BJ8" s="504"/>
      <c r="BK8" s="504"/>
      <c r="BL8" s="504"/>
      <c r="BM8" s="504"/>
      <c r="BN8" s="504"/>
      <c r="BO8" s="504"/>
      <c r="BP8" s="504"/>
      <c r="BQ8" s="504"/>
      <c r="BR8" s="504"/>
      <c r="BS8" s="504"/>
      <c r="BT8" s="504"/>
      <c r="BU8" s="504"/>
      <c r="BV8" s="504"/>
      <c r="BW8" s="504"/>
      <c r="BX8" s="49"/>
      <c r="CM8" s="1" t="s">
        <v>69</v>
      </c>
    </row>
    <row r="9" spans="2:91" ht="17.25" customHeight="1" x14ac:dyDescent="0.15">
      <c r="B9" s="363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534"/>
      <c r="N9" s="48"/>
      <c r="O9" s="504" t="s">
        <v>60</v>
      </c>
      <c r="P9" s="504"/>
      <c r="Q9" s="504"/>
      <c r="R9" s="504"/>
      <c r="S9" s="504"/>
      <c r="T9" s="504"/>
      <c r="U9" s="504"/>
      <c r="V9" s="504"/>
      <c r="W9" s="504"/>
      <c r="X9" s="504"/>
      <c r="Y9" s="504"/>
      <c r="Z9" s="504"/>
      <c r="AA9" s="504"/>
      <c r="AB9" s="504"/>
      <c r="AC9" s="504"/>
      <c r="AD9" s="504"/>
      <c r="AE9" s="504"/>
      <c r="AF9" s="504"/>
      <c r="AG9" s="504"/>
      <c r="AH9" s="9"/>
      <c r="AI9" s="48"/>
      <c r="AJ9" s="504" t="s">
        <v>60</v>
      </c>
      <c r="AK9" s="504"/>
      <c r="AL9" s="504"/>
      <c r="AM9" s="504"/>
      <c r="AN9" s="504"/>
      <c r="AO9" s="504"/>
      <c r="AP9" s="504"/>
      <c r="AQ9" s="504"/>
      <c r="AR9" s="504"/>
      <c r="AS9" s="504"/>
      <c r="AT9" s="504"/>
      <c r="AU9" s="504"/>
      <c r="AV9" s="504"/>
      <c r="AW9" s="504"/>
      <c r="AX9" s="504"/>
      <c r="AY9" s="504"/>
      <c r="AZ9" s="504"/>
      <c r="BA9" s="504"/>
      <c r="BB9" s="504"/>
      <c r="BC9" s="9"/>
      <c r="BD9" s="7"/>
      <c r="BE9" s="504"/>
      <c r="BF9" s="504"/>
      <c r="BG9" s="504"/>
      <c r="BH9" s="504"/>
      <c r="BI9" s="504"/>
      <c r="BJ9" s="504"/>
      <c r="BK9" s="504"/>
      <c r="BL9" s="504"/>
      <c r="BM9" s="504"/>
      <c r="BN9" s="504"/>
      <c r="BO9" s="504"/>
      <c r="BP9" s="504"/>
      <c r="BQ9" s="504"/>
      <c r="BR9" s="504"/>
      <c r="BS9" s="504"/>
      <c r="BT9" s="504"/>
      <c r="BU9" s="504"/>
      <c r="BV9" s="504"/>
      <c r="BW9" s="504"/>
      <c r="BX9" s="49"/>
    </row>
    <row r="10" spans="2:91" ht="17.25" customHeight="1" x14ac:dyDescent="0.15">
      <c r="B10" s="363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534"/>
      <c r="N10" s="48"/>
      <c r="O10" s="284" t="s">
        <v>64</v>
      </c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9"/>
      <c r="AI10" s="48"/>
      <c r="AJ10" s="284" t="s">
        <v>65</v>
      </c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9"/>
      <c r="BD10" s="7"/>
      <c r="BE10" s="284" t="s">
        <v>66</v>
      </c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49"/>
    </row>
    <row r="11" spans="2:91" ht="7.5" customHeight="1" x14ac:dyDescent="0.15">
      <c r="B11" s="365"/>
      <c r="C11" s="359"/>
      <c r="D11" s="359"/>
      <c r="E11" s="359"/>
      <c r="F11" s="359"/>
      <c r="G11" s="359"/>
      <c r="H11" s="359"/>
      <c r="I11" s="359"/>
      <c r="J11" s="359"/>
      <c r="K11" s="359"/>
      <c r="L11" s="359"/>
      <c r="M11" s="535"/>
      <c r="N11" s="50"/>
      <c r="O11" s="531"/>
      <c r="P11" s="5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531"/>
      <c r="AG11" s="531"/>
      <c r="AH11" s="29"/>
      <c r="AI11" s="50"/>
      <c r="AJ11" s="531"/>
      <c r="AK11" s="531"/>
      <c r="AL11" s="531"/>
      <c r="AM11" s="531"/>
      <c r="AN11" s="531"/>
      <c r="AO11" s="531"/>
      <c r="AP11" s="531"/>
      <c r="AQ11" s="531"/>
      <c r="AR11" s="531"/>
      <c r="AS11" s="531"/>
      <c r="AT11" s="531"/>
      <c r="AU11" s="531"/>
      <c r="AV11" s="531"/>
      <c r="AW11" s="531"/>
      <c r="AX11" s="531"/>
      <c r="AY11" s="531"/>
      <c r="AZ11" s="531"/>
      <c r="BA11" s="531"/>
      <c r="BB11" s="531"/>
      <c r="BC11" s="29"/>
      <c r="BD11" s="26"/>
      <c r="BE11" s="531"/>
      <c r="BF11" s="531"/>
      <c r="BG11" s="531"/>
      <c r="BH11" s="531"/>
      <c r="BI11" s="531"/>
      <c r="BJ11" s="531"/>
      <c r="BK11" s="531"/>
      <c r="BL11" s="531"/>
      <c r="BM11" s="531"/>
      <c r="BN11" s="531"/>
      <c r="BO11" s="531"/>
      <c r="BP11" s="531"/>
      <c r="BQ11" s="531"/>
      <c r="BR11" s="531"/>
      <c r="BS11" s="531"/>
      <c r="BT11" s="531"/>
      <c r="BU11" s="531"/>
      <c r="BV11" s="531"/>
      <c r="BW11" s="531"/>
      <c r="BX11" s="51"/>
    </row>
    <row r="12" spans="2:91" ht="8.25" customHeight="1" x14ac:dyDescent="0.2">
      <c r="B12" s="52" t="s">
        <v>61</v>
      </c>
      <c r="C12" s="14"/>
      <c r="D12" s="14"/>
      <c r="E12" s="14"/>
      <c r="F12" s="53"/>
      <c r="G12" s="53"/>
      <c r="H12" s="53"/>
      <c r="I12" s="54"/>
      <c r="J12" s="5"/>
      <c r="K12" s="5"/>
      <c r="L12" s="5"/>
      <c r="M12" s="55"/>
      <c r="N12" s="56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78"/>
      <c r="AF12" s="78"/>
      <c r="AG12" s="78"/>
      <c r="AH12" s="79"/>
      <c r="AI12" s="56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78"/>
      <c r="BA12" s="78"/>
      <c r="BB12" s="78"/>
      <c r="BC12" s="79"/>
      <c r="BD12" s="56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78"/>
      <c r="BV12" s="78"/>
      <c r="BW12" s="78"/>
      <c r="BX12" s="80"/>
    </row>
    <row r="13" spans="2:91" ht="21.75" customHeight="1" x14ac:dyDescent="0.2">
      <c r="B13" s="58"/>
      <c r="C13" s="505" t="str">
        <f>TEXT(納入・納付申告書!CA43,$CM$8)</f>
        <v>4月分</v>
      </c>
      <c r="D13" s="505"/>
      <c r="E13" s="505"/>
      <c r="F13" s="505"/>
      <c r="G13" s="505"/>
      <c r="H13" s="505"/>
      <c r="I13" s="505"/>
      <c r="J13" s="505"/>
      <c r="K13" s="505"/>
      <c r="L13" s="505"/>
      <c r="M13" s="59"/>
      <c r="N13" s="102"/>
      <c r="O13" s="521">
        <f>委附表2!AS29</f>
        <v>0</v>
      </c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  <c r="AA13" s="521"/>
      <c r="AB13" s="521"/>
      <c r="AC13" s="521"/>
      <c r="AD13" s="521"/>
      <c r="AE13" s="521"/>
      <c r="AF13" s="521"/>
      <c r="AG13" s="521"/>
      <c r="AH13" s="103"/>
      <c r="AI13" s="102"/>
      <c r="AJ13" s="521">
        <f>自附表2!AS29</f>
        <v>0</v>
      </c>
      <c r="AK13" s="521"/>
      <c r="AL13" s="521"/>
      <c r="AM13" s="521"/>
      <c r="AN13" s="521"/>
      <c r="AO13" s="521"/>
      <c r="AP13" s="521"/>
      <c r="AQ13" s="521"/>
      <c r="AR13" s="521"/>
      <c r="AS13" s="521"/>
      <c r="AT13" s="521"/>
      <c r="AU13" s="521"/>
      <c r="AV13" s="521"/>
      <c r="AW13" s="521"/>
      <c r="AX13" s="521"/>
      <c r="AY13" s="521"/>
      <c r="AZ13" s="521"/>
      <c r="BA13" s="521"/>
      <c r="BB13" s="521"/>
      <c r="BC13" s="103"/>
      <c r="BD13" s="102"/>
      <c r="BE13" s="521">
        <f>O13+AJ13</f>
        <v>0</v>
      </c>
      <c r="BF13" s="521"/>
      <c r="BG13" s="521"/>
      <c r="BH13" s="521"/>
      <c r="BI13" s="521"/>
      <c r="BJ13" s="521"/>
      <c r="BK13" s="521"/>
      <c r="BL13" s="521"/>
      <c r="BM13" s="521"/>
      <c r="BN13" s="521"/>
      <c r="BO13" s="521"/>
      <c r="BP13" s="521"/>
      <c r="BQ13" s="521"/>
      <c r="BR13" s="521"/>
      <c r="BS13" s="521"/>
      <c r="BT13" s="521"/>
      <c r="BU13" s="521"/>
      <c r="BV13" s="521"/>
      <c r="BW13" s="521"/>
      <c r="BX13" s="104"/>
    </row>
    <row r="14" spans="2:91" ht="21.75" customHeight="1" x14ac:dyDescent="0.2">
      <c r="B14" s="58"/>
      <c r="C14" s="505"/>
      <c r="D14" s="505"/>
      <c r="E14" s="505"/>
      <c r="F14" s="505"/>
      <c r="G14" s="505"/>
      <c r="H14" s="505"/>
      <c r="I14" s="505"/>
      <c r="J14" s="505"/>
      <c r="K14" s="505"/>
      <c r="L14" s="505"/>
      <c r="M14" s="59"/>
      <c r="N14" s="102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105"/>
      <c r="AI14" s="102"/>
      <c r="AJ14" s="521"/>
      <c r="AK14" s="521"/>
      <c r="AL14" s="521"/>
      <c r="AM14" s="521"/>
      <c r="AN14" s="521"/>
      <c r="AO14" s="521"/>
      <c r="AP14" s="521"/>
      <c r="AQ14" s="521"/>
      <c r="AR14" s="521"/>
      <c r="AS14" s="521"/>
      <c r="AT14" s="521"/>
      <c r="AU14" s="521"/>
      <c r="AV14" s="521"/>
      <c r="AW14" s="521"/>
      <c r="AX14" s="521"/>
      <c r="AY14" s="521"/>
      <c r="AZ14" s="521"/>
      <c r="BA14" s="521"/>
      <c r="BB14" s="521"/>
      <c r="BC14" s="105"/>
      <c r="BD14" s="102"/>
      <c r="BE14" s="521"/>
      <c r="BF14" s="521"/>
      <c r="BG14" s="521"/>
      <c r="BH14" s="521"/>
      <c r="BI14" s="521"/>
      <c r="BJ14" s="521"/>
      <c r="BK14" s="521"/>
      <c r="BL14" s="521"/>
      <c r="BM14" s="521"/>
      <c r="BN14" s="521"/>
      <c r="BO14" s="521"/>
      <c r="BP14" s="521"/>
      <c r="BQ14" s="521"/>
      <c r="BR14" s="521"/>
      <c r="BS14" s="521"/>
      <c r="BT14" s="521"/>
      <c r="BU14" s="521"/>
      <c r="BV14" s="521"/>
      <c r="BW14" s="521"/>
      <c r="BX14" s="106"/>
    </row>
    <row r="15" spans="2:91" ht="7.5" customHeight="1" x14ac:dyDescent="0.2">
      <c r="B15" s="58"/>
      <c r="C15" s="60"/>
      <c r="D15" s="60"/>
      <c r="E15" s="60"/>
      <c r="F15" s="60"/>
      <c r="G15" s="60"/>
      <c r="H15" s="60"/>
      <c r="I15" s="60"/>
      <c r="J15" s="60"/>
      <c r="K15" s="60"/>
      <c r="L15" s="12"/>
      <c r="M15" s="59"/>
      <c r="N15" s="518"/>
      <c r="O15" s="519"/>
      <c r="P15" s="519"/>
      <c r="Q15" s="519"/>
      <c r="R15" s="519"/>
      <c r="S15" s="519"/>
      <c r="T15" s="519"/>
      <c r="U15" s="519"/>
      <c r="V15" s="519"/>
      <c r="W15" s="519"/>
      <c r="X15" s="519"/>
      <c r="Y15" s="519"/>
      <c r="Z15" s="519"/>
      <c r="AA15" s="519"/>
      <c r="AB15" s="519"/>
      <c r="AC15" s="519"/>
      <c r="AD15" s="519"/>
      <c r="AE15" s="519"/>
      <c r="AF15" s="519"/>
      <c r="AG15" s="519"/>
      <c r="AH15" s="522"/>
      <c r="AI15" s="518"/>
      <c r="AJ15" s="519"/>
      <c r="AK15" s="519"/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19"/>
      <c r="BC15" s="522"/>
      <c r="BD15" s="518"/>
      <c r="BE15" s="519"/>
      <c r="BF15" s="519"/>
      <c r="BG15" s="519"/>
      <c r="BH15" s="519"/>
      <c r="BI15" s="519"/>
      <c r="BJ15" s="519"/>
      <c r="BK15" s="519"/>
      <c r="BL15" s="519"/>
      <c r="BM15" s="519"/>
      <c r="BN15" s="519"/>
      <c r="BO15" s="519"/>
      <c r="BP15" s="519"/>
      <c r="BQ15" s="519"/>
      <c r="BR15" s="519"/>
      <c r="BS15" s="519"/>
      <c r="BT15" s="519"/>
      <c r="BU15" s="519"/>
      <c r="BV15" s="519"/>
      <c r="BW15" s="519"/>
      <c r="BX15" s="520"/>
    </row>
    <row r="16" spans="2:91" ht="7.5" customHeight="1" x14ac:dyDescent="0.2">
      <c r="B16" s="61"/>
      <c r="C16" s="13"/>
      <c r="D16" s="13"/>
      <c r="E16" s="13"/>
      <c r="F16" s="13"/>
      <c r="G16" s="13"/>
      <c r="H16" s="13"/>
      <c r="I16" s="13"/>
      <c r="J16" s="13"/>
      <c r="K16" s="13"/>
      <c r="L16" s="10"/>
      <c r="M16" s="55"/>
      <c r="N16" s="107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9"/>
      <c r="AF16" s="109"/>
      <c r="AG16" s="109"/>
      <c r="AH16" s="110"/>
      <c r="AI16" s="107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9"/>
      <c r="BA16" s="109"/>
      <c r="BB16" s="109"/>
      <c r="BC16" s="110"/>
      <c r="BD16" s="107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9"/>
      <c r="BV16" s="109"/>
      <c r="BW16" s="109"/>
      <c r="BX16" s="111"/>
    </row>
    <row r="17" spans="2:76" ht="21.75" customHeight="1" x14ac:dyDescent="0.2">
      <c r="B17" s="58"/>
      <c r="C17" s="505" t="str">
        <f>TEXT(納入・納付申告書!CA44,$CM$8)</f>
        <v>5月分</v>
      </c>
      <c r="D17" s="505"/>
      <c r="E17" s="505"/>
      <c r="F17" s="505"/>
      <c r="G17" s="505"/>
      <c r="H17" s="505"/>
      <c r="I17" s="505"/>
      <c r="J17" s="505"/>
      <c r="K17" s="505"/>
      <c r="L17" s="505"/>
      <c r="M17" s="59"/>
      <c r="N17" s="102"/>
      <c r="O17" s="521">
        <f>委附表2!AS60</f>
        <v>0</v>
      </c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103"/>
      <c r="AI17" s="102"/>
      <c r="AJ17" s="521">
        <f>自附表2!AS60</f>
        <v>0</v>
      </c>
      <c r="AK17" s="521"/>
      <c r="AL17" s="521"/>
      <c r="AM17" s="521"/>
      <c r="AN17" s="521"/>
      <c r="AO17" s="521"/>
      <c r="AP17" s="521"/>
      <c r="AQ17" s="521"/>
      <c r="AR17" s="521"/>
      <c r="AS17" s="521"/>
      <c r="AT17" s="521"/>
      <c r="AU17" s="521"/>
      <c r="AV17" s="521"/>
      <c r="AW17" s="521"/>
      <c r="AX17" s="521"/>
      <c r="AY17" s="521"/>
      <c r="AZ17" s="521"/>
      <c r="BA17" s="521"/>
      <c r="BB17" s="521"/>
      <c r="BC17" s="103"/>
      <c r="BD17" s="102"/>
      <c r="BE17" s="521">
        <f>O17+AJ17</f>
        <v>0</v>
      </c>
      <c r="BF17" s="521"/>
      <c r="BG17" s="521"/>
      <c r="BH17" s="521"/>
      <c r="BI17" s="521"/>
      <c r="BJ17" s="521"/>
      <c r="BK17" s="521"/>
      <c r="BL17" s="521"/>
      <c r="BM17" s="521"/>
      <c r="BN17" s="521"/>
      <c r="BO17" s="521"/>
      <c r="BP17" s="521"/>
      <c r="BQ17" s="521"/>
      <c r="BR17" s="521"/>
      <c r="BS17" s="521"/>
      <c r="BT17" s="521"/>
      <c r="BU17" s="521"/>
      <c r="BV17" s="521"/>
      <c r="BW17" s="521"/>
      <c r="BX17" s="104"/>
    </row>
    <row r="18" spans="2:76" ht="21.75" customHeight="1" x14ac:dyDescent="0.2">
      <c r="B18" s="62"/>
      <c r="C18" s="505"/>
      <c r="D18" s="505"/>
      <c r="E18" s="505"/>
      <c r="F18" s="505"/>
      <c r="G18" s="505"/>
      <c r="H18" s="505"/>
      <c r="I18" s="505"/>
      <c r="J18" s="505"/>
      <c r="K18" s="505"/>
      <c r="L18" s="505"/>
      <c r="M18" s="59"/>
      <c r="N18" s="102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  <c r="AA18" s="521"/>
      <c r="AB18" s="521"/>
      <c r="AC18" s="521"/>
      <c r="AD18" s="521"/>
      <c r="AE18" s="521"/>
      <c r="AF18" s="521"/>
      <c r="AG18" s="521"/>
      <c r="AH18" s="105"/>
      <c r="AI18" s="102"/>
      <c r="AJ18" s="521"/>
      <c r="AK18" s="521"/>
      <c r="AL18" s="521"/>
      <c r="AM18" s="521"/>
      <c r="AN18" s="521"/>
      <c r="AO18" s="521"/>
      <c r="AP18" s="521"/>
      <c r="AQ18" s="521"/>
      <c r="AR18" s="521"/>
      <c r="AS18" s="521"/>
      <c r="AT18" s="521"/>
      <c r="AU18" s="521"/>
      <c r="AV18" s="521"/>
      <c r="AW18" s="521"/>
      <c r="AX18" s="521"/>
      <c r="AY18" s="521"/>
      <c r="AZ18" s="521"/>
      <c r="BA18" s="521"/>
      <c r="BB18" s="521"/>
      <c r="BC18" s="105"/>
      <c r="BD18" s="102"/>
      <c r="BE18" s="521"/>
      <c r="BF18" s="521"/>
      <c r="BG18" s="521"/>
      <c r="BH18" s="521"/>
      <c r="BI18" s="521"/>
      <c r="BJ18" s="521"/>
      <c r="BK18" s="521"/>
      <c r="BL18" s="521"/>
      <c r="BM18" s="521"/>
      <c r="BN18" s="521"/>
      <c r="BO18" s="521"/>
      <c r="BP18" s="521"/>
      <c r="BQ18" s="521"/>
      <c r="BR18" s="521"/>
      <c r="BS18" s="521"/>
      <c r="BT18" s="521"/>
      <c r="BU18" s="521"/>
      <c r="BV18" s="521"/>
      <c r="BW18" s="521"/>
      <c r="BX18" s="106"/>
    </row>
    <row r="19" spans="2:76" ht="7.5" customHeight="1" x14ac:dyDescent="0.2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11"/>
      <c r="M19" s="65"/>
      <c r="N19" s="518"/>
      <c r="O19" s="519"/>
      <c r="P19" s="519"/>
      <c r="Q19" s="519"/>
      <c r="R19" s="519"/>
      <c r="S19" s="519"/>
      <c r="T19" s="519"/>
      <c r="U19" s="519"/>
      <c r="V19" s="519"/>
      <c r="W19" s="519"/>
      <c r="X19" s="519"/>
      <c r="Y19" s="519"/>
      <c r="Z19" s="519"/>
      <c r="AA19" s="519"/>
      <c r="AB19" s="519"/>
      <c r="AC19" s="519"/>
      <c r="AD19" s="519"/>
      <c r="AE19" s="519"/>
      <c r="AF19" s="519"/>
      <c r="AG19" s="519"/>
      <c r="AH19" s="522"/>
      <c r="AI19" s="518"/>
      <c r="AJ19" s="519"/>
      <c r="AK19" s="519"/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19"/>
      <c r="BC19" s="522"/>
      <c r="BD19" s="518"/>
      <c r="BE19" s="519"/>
      <c r="BF19" s="519"/>
      <c r="BG19" s="519"/>
      <c r="BH19" s="519"/>
      <c r="BI19" s="519"/>
      <c r="BJ19" s="519"/>
      <c r="BK19" s="519"/>
      <c r="BL19" s="519"/>
      <c r="BM19" s="519"/>
      <c r="BN19" s="519"/>
      <c r="BO19" s="519"/>
      <c r="BP19" s="519"/>
      <c r="BQ19" s="519"/>
      <c r="BR19" s="519"/>
      <c r="BS19" s="519"/>
      <c r="BT19" s="519"/>
      <c r="BU19" s="519"/>
      <c r="BV19" s="519"/>
      <c r="BW19" s="519"/>
      <c r="BX19" s="520"/>
    </row>
    <row r="20" spans="2:76" ht="7.5" customHeight="1" x14ac:dyDescent="0.2">
      <c r="B20" s="61"/>
      <c r="C20" s="27"/>
      <c r="D20" s="27"/>
      <c r="E20" s="27"/>
      <c r="F20" s="27"/>
      <c r="G20" s="27"/>
      <c r="H20" s="27"/>
      <c r="I20" s="10"/>
      <c r="J20" s="10"/>
      <c r="K20" s="10"/>
      <c r="L20" s="10"/>
      <c r="M20" s="55"/>
      <c r="N20" s="107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9"/>
      <c r="AF20" s="109"/>
      <c r="AG20" s="109"/>
      <c r="AH20" s="110"/>
      <c r="AI20" s="107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9"/>
      <c r="BA20" s="109"/>
      <c r="BB20" s="109"/>
      <c r="BC20" s="110"/>
      <c r="BD20" s="112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4"/>
    </row>
    <row r="21" spans="2:76" ht="21.75" customHeight="1" x14ac:dyDescent="0.15">
      <c r="B21" s="58"/>
      <c r="C21" s="505" t="str">
        <f>TEXT(納入・納付申告書!CA45,$CM$8)</f>
        <v>6月分</v>
      </c>
      <c r="D21" s="505"/>
      <c r="E21" s="505"/>
      <c r="F21" s="505"/>
      <c r="G21" s="505"/>
      <c r="H21" s="505"/>
      <c r="I21" s="505"/>
      <c r="J21" s="505"/>
      <c r="K21" s="505"/>
      <c r="L21" s="505"/>
      <c r="M21" s="59"/>
      <c r="N21" s="115"/>
      <c r="O21" s="521">
        <f>委附表2!AS91</f>
        <v>0</v>
      </c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  <c r="AA21" s="521"/>
      <c r="AB21" s="521"/>
      <c r="AC21" s="521"/>
      <c r="AD21" s="521"/>
      <c r="AE21" s="521"/>
      <c r="AF21" s="521"/>
      <c r="AG21" s="521"/>
      <c r="AH21" s="116"/>
      <c r="AI21" s="115"/>
      <c r="AJ21" s="521">
        <f>自附表2!AS91</f>
        <v>0</v>
      </c>
      <c r="AK21" s="521"/>
      <c r="AL21" s="521"/>
      <c r="AM21" s="521"/>
      <c r="AN21" s="521"/>
      <c r="AO21" s="521"/>
      <c r="AP21" s="521"/>
      <c r="AQ21" s="521"/>
      <c r="AR21" s="521"/>
      <c r="AS21" s="521"/>
      <c r="AT21" s="521"/>
      <c r="AU21" s="521"/>
      <c r="AV21" s="521"/>
      <c r="AW21" s="521"/>
      <c r="AX21" s="521"/>
      <c r="AY21" s="521"/>
      <c r="AZ21" s="521"/>
      <c r="BA21" s="521"/>
      <c r="BB21" s="521"/>
      <c r="BC21" s="116"/>
      <c r="BD21" s="115"/>
      <c r="BE21" s="521">
        <f>O21+AJ21</f>
        <v>0</v>
      </c>
      <c r="BF21" s="521"/>
      <c r="BG21" s="521"/>
      <c r="BH21" s="521"/>
      <c r="BI21" s="521"/>
      <c r="BJ21" s="521"/>
      <c r="BK21" s="521"/>
      <c r="BL21" s="521"/>
      <c r="BM21" s="521"/>
      <c r="BN21" s="521"/>
      <c r="BO21" s="521"/>
      <c r="BP21" s="521"/>
      <c r="BQ21" s="521"/>
      <c r="BR21" s="521"/>
      <c r="BS21" s="521"/>
      <c r="BT21" s="521"/>
      <c r="BU21" s="521"/>
      <c r="BV21" s="521"/>
      <c r="BW21" s="521"/>
      <c r="BX21" s="117"/>
    </row>
    <row r="22" spans="2:76" ht="21.75" customHeight="1" x14ac:dyDescent="0.15">
      <c r="B22" s="62"/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9"/>
      <c r="N22" s="115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  <c r="AA22" s="521"/>
      <c r="AB22" s="521"/>
      <c r="AC22" s="521"/>
      <c r="AD22" s="521"/>
      <c r="AE22" s="521"/>
      <c r="AF22" s="521"/>
      <c r="AG22" s="521"/>
      <c r="AH22" s="116"/>
      <c r="AI22" s="115"/>
      <c r="AJ22" s="521"/>
      <c r="AK22" s="521"/>
      <c r="AL22" s="521"/>
      <c r="AM22" s="521"/>
      <c r="AN22" s="521"/>
      <c r="AO22" s="521"/>
      <c r="AP22" s="521"/>
      <c r="AQ22" s="521"/>
      <c r="AR22" s="521"/>
      <c r="AS22" s="521"/>
      <c r="AT22" s="521"/>
      <c r="AU22" s="521"/>
      <c r="AV22" s="521"/>
      <c r="AW22" s="521"/>
      <c r="AX22" s="521"/>
      <c r="AY22" s="521"/>
      <c r="AZ22" s="521"/>
      <c r="BA22" s="521"/>
      <c r="BB22" s="521"/>
      <c r="BC22" s="116"/>
      <c r="BD22" s="115"/>
      <c r="BE22" s="521"/>
      <c r="BF22" s="521"/>
      <c r="BG22" s="521"/>
      <c r="BH22" s="521"/>
      <c r="BI22" s="521"/>
      <c r="BJ22" s="521"/>
      <c r="BK22" s="521"/>
      <c r="BL22" s="521"/>
      <c r="BM22" s="521"/>
      <c r="BN22" s="521"/>
      <c r="BO22" s="521"/>
      <c r="BP22" s="521"/>
      <c r="BQ22" s="521"/>
      <c r="BR22" s="521"/>
      <c r="BS22" s="521"/>
      <c r="BT22" s="521"/>
      <c r="BU22" s="521"/>
      <c r="BV22" s="521"/>
      <c r="BW22" s="521"/>
      <c r="BX22" s="117"/>
    </row>
    <row r="23" spans="2:76" ht="8.25" customHeight="1" thickBot="1" x14ac:dyDescent="0.2">
      <c r="B23" s="62"/>
      <c r="C23" s="31"/>
      <c r="D23" s="31"/>
      <c r="E23" s="31"/>
      <c r="F23" s="7"/>
      <c r="G23" s="7"/>
      <c r="H23" s="7"/>
      <c r="I23" s="7"/>
      <c r="J23" s="12"/>
      <c r="K23" s="12"/>
      <c r="L23" s="12"/>
      <c r="M23" s="59"/>
      <c r="N23" s="81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4"/>
      <c r="AI23" s="81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4"/>
      <c r="BD23" s="81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3"/>
    </row>
    <row r="24" spans="2:76" ht="7.5" customHeight="1" thickTop="1" x14ac:dyDescent="0.2">
      <c r="B24" s="66"/>
      <c r="C24" s="67"/>
      <c r="D24" s="67"/>
      <c r="E24" s="67"/>
      <c r="F24" s="67"/>
      <c r="G24" s="67"/>
      <c r="H24" s="67"/>
      <c r="I24" s="68"/>
      <c r="J24" s="68"/>
      <c r="K24" s="68"/>
      <c r="L24" s="68"/>
      <c r="M24" s="69"/>
      <c r="N24" s="85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7"/>
      <c r="AI24" s="85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7"/>
      <c r="BD24" s="88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90"/>
    </row>
    <row r="25" spans="2:76" ht="21.75" customHeight="1" x14ac:dyDescent="0.2">
      <c r="B25" s="58"/>
      <c r="C25" s="505" t="s">
        <v>62</v>
      </c>
      <c r="D25" s="505"/>
      <c r="E25" s="505"/>
      <c r="F25" s="505"/>
      <c r="G25" s="505"/>
      <c r="H25" s="505"/>
      <c r="I25" s="505"/>
      <c r="J25" s="505"/>
      <c r="K25" s="505"/>
      <c r="L25" s="505"/>
      <c r="M25" s="59"/>
      <c r="N25" s="15"/>
      <c r="O25" s="521">
        <f>SUM(O13,O17,O21)</f>
        <v>0</v>
      </c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  <c r="AG25" s="521"/>
      <c r="AH25" s="118"/>
      <c r="AI25" s="119"/>
      <c r="AJ25" s="521">
        <f>SUM(AJ13,AJ17,AJ21)</f>
        <v>0</v>
      </c>
      <c r="AK25" s="521"/>
      <c r="AL25" s="521"/>
      <c r="AM25" s="521"/>
      <c r="AN25" s="521"/>
      <c r="AO25" s="521"/>
      <c r="AP25" s="521"/>
      <c r="AQ25" s="521"/>
      <c r="AR25" s="521"/>
      <c r="AS25" s="521"/>
      <c r="AT25" s="521"/>
      <c r="AU25" s="521"/>
      <c r="AV25" s="521"/>
      <c r="AW25" s="521"/>
      <c r="AX25" s="521"/>
      <c r="AY25" s="521"/>
      <c r="AZ25" s="521"/>
      <c r="BA25" s="521"/>
      <c r="BB25" s="521"/>
      <c r="BC25" s="118"/>
      <c r="BD25" s="120"/>
      <c r="BE25" s="521">
        <f>SUM(BE13,BE17,BE21)</f>
        <v>0</v>
      </c>
      <c r="BF25" s="521"/>
      <c r="BG25" s="521"/>
      <c r="BH25" s="521"/>
      <c r="BI25" s="521"/>
      <c r="BJ25" s="521"/>
      <c r="BK25" s="521"/>
      <c r="BL25" s="521"/>
      <c r="BM25" s="521"/>
      <c r="BN25" s="521"/>
      <c r="BO25" s="521"/>
      <c r="BP25" s="521"/>
      <c r="BQ25" s="521"/>
      <c r="BR25" s="521"/>
      <c r="BS25" s="521"/>
      <c r="BT25" s="521"/>
      <c r="BU25" s="521"/>
      <c r="BV25" s="521"/>
      <c r="BW25" s="521"/>
      <c r="BX25" s="91"/>
    </row>
    <row r="26" spans="2:76" ht="21.75" customHeight="1" x14ac:dyDescent="0.2">
      <c r="B26" s="62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9"/>
      <c r="N26" s="15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  <c r="AA26" s="521"/>
      <c r="AB26" s="521"/>
      <c r="AC26" s="521"/>
      <c r="AD26" s="521"/>
      <c r="AE26" s="521"/>
      <c r="AF26" s="521"/>
      <c r="AG26" s="521"/>
      <c r="AH26" s="118"/>
      <c r="AI26" s="119"/>
      <c r="AJ26" s="521"/>
      <c r="AK26" s="521"/>
      <c r="AL26" s="521"/>
      <c r="AM26" s="521"/>
      <c r="AN26" s="521"/>
      <c r="AO26" s="521"/>
      <c r="AP26" s="521"/>
      <c r="AQ26" s="521"/>
      <c r="AR26" s="521"/>
      <c r="AS26" s="521"/>
      <c r="AT26" s="521"/>
      <c r="AU26" s="521"/>
      <c r="AV26" s="521"/>
      <c r="AW26" s="521"/>
      <c r="AX26" s="521"/>
      <c r="AY26" s="521"/>
      <c r="AZ26" s="521"/>
      <c r="BA26" s="521"/>
      <c r="BB26" s="521"/>
      <c r="BC26" s="118"/>
      <c r="BD26" s="120"/>
      <c r="BE26" s="521"/>
      <c r="BF26" s="521"/>
      <c r="BG26" s="521"/>
      <c r="BH26" s="521"/>
      <c r="BI26" s="521"/>
      <c r="BJ26" s="521"/>
      <c r="BK26" s="521"/>
      <c r="BL26" s="521"/>
      <c r="BM26" s="521"/>
      <c r="BN26" s="521"/>
      <c r="BO26" s="521"/>
      <c r="BP26" s="521"/>
      <c r="BQ26" s="521"/>
      <c r="BR26" s="521"/>
      <c r="BS26" s="521"/>
      <c r="BT26" s="521"/>
      <c r="BU26" s="521"/>
      <c r="BV26" s="521"/>
      <c r="BW26" s="521"/>
      <c r="BX26" s="91"/>
    </row>
    <row r="27" spans="2:76" ht="8.25" customHeight="1" x14ac:dyDescent="0.2">
      <c r="B27" s="70"/>
      <c r="C27" s="71"/>
      <c r="D27" s="71"/>
      <c r="E27" s="71"/>
      <c r="F27" s="72"/>
      <c r="G27" s="72"/>
      <c r="H27" s="72"/>
      <c r="I27" s="73"/>
      <c r="J27" s="6"/>
      <c r="K27" s="6"/>
      <c r="L27" s="6"/>
      <c r="M27" s="65"/>
      <c r="N27" s="515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16"/>
      <c r="Z27" s="516"/>
      <c r="AA27" s="516"/>
      <c r="AB27" s="516"/>
      <c r="AC27" s="516"/>
      <c r="AD27" s="516"/>
      <c r="AE27" s="516"/>
      <c r="AF27" s="516"/>
      <c r="AG27" s="516"/>
      <c r="AH27" s="517"/>
      <c r="AI27" s="515"/>
      <c r="AJ27" s="516"/>
      <c r="AK27" s="516"/>
      <c r="AL27" s="516"/>
      <c r="AM27" s="516"/>
      <c r="AN27" s="516"/>
      <c r="AO27" s="516"/>
      <c r="AP27" s="516"/>
      <c r="AQ27" s="516"/>
      <c r="AR27" s="516"/>
      <c r="AS27" s="516"/>
      <c r="AT27" s="516"/>
      <c r="AU27" s="516"/>
      <c r="AV27" s="516"/>
      <c r="AW27" s="516"/>
      <c r="AX27" s="516"/>
      <c r="AY27" s="516"/>
      <c r="AZ27" s="516"/>
      <c r="BA27" s="516"/>
      <c r="BB27" s="516"/>
      <c r="BC27" s="517"/>
      <c r="BD27" s="515"/>
      <c r="BE27" s="516"/>
      <c r="BF27" s="516"/>
      <c r="BG27" s="516"/>
      <c r="BH27" s="516"/>
      <c r="BI27" s="516"/>
      <c r="BJ27" s="516"/>
      <c r="BK27" s="516"/>
      <c r="BL27" s="516"/>
      <c r="BM27" s="516"/>
      <c r="BN27" s="516"/>
      <c r="BO27" s="516"/>
      <c r="BP27" s="516"/>
      <c r="BQ27" s="516"/>
      <c r="BR27" s="516"/>
      <c r="BS27" s="516"/>
      <c r="BT27" s="516"/>
      <c r="BU27" s="516"/>
      <c r="BV27" s="516"/>
      <c r="BW27" s="516"/>
      <c r="BX27" s="523"/>
    </row>
    <row r="28" spans="2:76" ht="7.5" customHeight="1" x14ac:dyDescent="0.15">
      <c r="B28" s="61"/>
      <c r="C28" s="27"/>
      <c r="D28" s="27"/>
      <c r="E28" s="27"/>
      <c r="F28" s="27"/>
      <c r="G28" s="27"/>
      <c r="H28" s="27"/>
      <c r="I28" s="10"/>
      <c r="J28" s="10"/>
      <c r="K28" s="10"/>
      <c r="L28" s="10"/>
      <c r="M28" s="55"/>
      <c r="N28" s="506"/>
      <c r="O28" s="507"/>
      <c r="P28" s="507"/>
      <c r="Q28" s="507"/>
      <c r="R28" s="507"/>
      <c r="S28" s="507"/>
      <c r="T28" s="507"/>
      <c r="U28" s="507"/>
      <c r="V28" s="507"/>
      <c r="W28" s="507"/>
      <c r="X28" s="507"/>
      <c r="Y28" s="507"/>
      <c r="Z28" s="507"/>
      <c r="AA28" s="507"/>
      <c r="AB28" s="507"/>
      <c r="AC28" s="507"/>
      <c r="AD28" s="507"/>
      <c r="AE28" s="507"/>
      <c r="AF28" s="507"/>
      <c r="AG28" s="507"/>
      <c r="AH28" s="507"/>
      <c r="AI28" s="507"/>
      <c r="AJ28" s="507"/>
      <c r="AK28" s="507"/>
      <c r="AL28" s="507"/>
      <c r="AM28" s="507"/>
      <c r="AN28" s="507"/>
      <c r="AO28" s="507"/>
      <c r="AP28" s="507"/>
      <c r="AQ28" s="507"/>
      <c r="AR28" s="507"/>
      <c r="AS28" s="507"/>
      <c r="AT28" s="507"/>
      <c r="AU28" s="507"/>
      <c r="AV28" s="507"/>
      <c r="AW28" s="507"/>
      <c r="AX28" s="507"/>
      <c r="AY28" s="507"/>
      <c r="AZ28" s="507"/>
      <c r="BA28" s="507"/>
      <c r="BB28" s="507"/>
      <c r="BC28" s="507"/>
      <c r="BD28" s="507"/>
      <c r="BE28" s="507"/>
      <c r="BF28" s="507"/>
      <c r="BG28" s="507"/>
      <c r="BH28" s="507"/>
      <c r="BI28" s="507"/>
      <c r="BJ28" s="507"/>
      <c r="BK28" s="507"/>
      <c r="BL28" s="507"/>
      <c r="BM28" s="507"/>
      <c r="BN28" s="507"/>
      <c r="BO28" s="507"/>
      <c r="BP28" s="507"/>
      <c r="BQ28" s="507"/>
      <c r="BR28" s="507"/>
      <c r="BS28" s="507"/>
      <c r="BT28" s="507"/>
      <c r="BU28" s="507"/>
      <c r="BV28" s="507"/>
      <c r="BW28" s="507"/>
      <c r="BX28" s="508"/>
    </row>
    <row r="29" spans="2:76" ht="21.75" customHeight="1" x14ac:dyDescent="0.15">
      <c r="B29" s="58"/>
      <c r="C29" s="505" t="s">
        <v>63</v>
      </c>
      <c r="D29" s="505"/>
      <c r="E29" s="505"/>
      <c r="F29" s="505"/>
      <c r="G29" s="505"/>
      <c r="H29" s="505"/>
      <c r="I29" s="505"/>
      <c r="J29" s="505"/>
      <c r="K29" s="505"/>
      <c r="L29" s="505"/>
      <c r="M29" s="59"/>
      <c r="N29" s="509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  <c r="AO29" s="510"/>
      <c r="AP29" s="510"/>
      <c r="AQ29" s="510"/>
      <c r="AR29" s="510"/>
      <c r="AS29" s="510"/>
      <c r="AT29" s="510"/>
      <c r="AU29" s="510"/>
      <c r="AV29" s="510"/>
      <c r="AW29" s="510"/>
      <c r="AX29" s="510"/>
      <c r="AY29" s="510"/>
      <c r="AZ29" s="510"/>
      <c r="BA29" s="510"/>
      <c r="BB29" s="510"/>
      <c r="BC29" s="510"/>
      <c r="BD29" s="510"/>
      <c r="BE29" s="510"/>
      <c r="BF29" s="510"/>
      <c r="BG29" s="510"/>
      <c r="BH29" s="510"/>
      <c r="BI29" s="510"/>
      <c r="BJ29" s="510"/>
      <c r="BK29" s="510"/>
      <c r="BL29" s="510"/>
      <c r="BM29" s="510"/>
      <c r="BN29" s="510"/>
      <c r="BO29" s="510"/>
      <c r="BP29" s="510"/>
      <c r="BQ29" s="510"/>
      <c r="BR29" s="510"/>
      <c r="BS29" s="510"/>
      <c r="BT29" s="510"/>
      <c r="BU29" s="510"/>
      <c r="BV29" s="510"/>
      <c r="BW29" s="510"/>
      <c r="BX29" s="511"/>
    </row>
    <row r="30" spans="2:76" ht="21.75" customHeight="1" x14ac:dyDescent="0.15">
      <c r="B30" s="62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9"/>
      <c r="N30" s="509"/>
      <c r="O30" s="510"/>
      <c r="P30" s="510"/>
      <c r="Q30" s="510"/>
      <c r="R30" s="510"/>
      <c r="S30" s="510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  <c r="AO30" s="510"/>
      <c r="AP30" s="510"/>
      <c r="AQ30" s="510"/>
      <c r="AR30" s="510"/>
      <c r="AS30" s="510"/>
      <c r="AT30" s="510"/>
      <c r="AU30" s="510"/>
      <c r="AV30" s="510"/>
      <c r="AW30" s="510"/>
      <c r="AX30" s="510"/>
      <c r="AY30" s="510"/>
      <c r="AZ30" s="510"/>
      <c r="BA30" s="510"/>
      <c r="BB30" s="510"/>
      <c r="BC30" s="510"/>
      <c r="BD30" s="510"/>
      <c r="BE30" s="510"/>
      <c r="BF30" s="510"/>
      <c r="BG30" s="510"/>
      <c r="BH30" s="510"/>
      <c r="BI30" s="510"/>
      <c r="BJ30" s="510"/>
      <c r="BK30" s="510"/>
      <c r="BL30" s="510"/>
      <c r="BM30" s="510"/>
      <c r="BN30" s="510"/>
      <c r="BO30" s="510"/>
      <c r="BP30" s="510"/>
      <c r="BQ30" s="510"/>
      <c r="BR30" s="510"/>
      <c r="BS30" s="510"/>
      <c r="BT30" s="510"/>
      <c r="BU30" s="510"/>
      <c r="BV30" s="510"/>
      <c r="BW30" s="510"/>
      <c r="BX30" s="511"/>
    </row>
    <row r="31" spans="2:76" ht="8.25" customHeight="1" x14ac:dyDescent="0.15">
      <c r="B31" s="74"/>
      <c r="C31" s="75"/>
      <c r="D31" s="75"/>
      <c r="E31" s="75"/>
      <c r="F31" s="45"/>
      <c r="G31" s="45"/>
      <c r="H31" s="45"/>
      <c r="I31" s="76"/>
      <c r="J31" s="43"/>
      <c r="K31" s="43"/>
      <c r="L31" s="43"/>
      <c r="M31" s="77"/>
      <c r="N31" s="512"/>
      <c r="O31" s="513"/>
      <c r="P31" s="513"/>
      <c r="Q31" s="513"/>
      <c r="R31" s="513"/>
      <c r="S31" s="513"/>
      <c r="T31" s="513"/>
      <c r="U31" s="513"/>
      <c r="V31" s="513"/>
      <c r="W31" s="513"/>
      <c r="X31" s="513"/>
      <c r="Y31" s="513"/>
      <c r="Z31" s="513"/>
      <c r="AA31" s="513"/>
      <c r="AB31" s="513"/>
      <c r="AC31" s="513"/>
      <c r="AD31" s="513"/>
      <c r="AE31" s="513"/>
      <c r="AF31" s="513"/>
      <c r="AG31" s="513"/>
      <c r="AH31" s="513"/>
      <c r="AI31" s="513"/>
      <c r="AJ31" s="513"/>
      <c r="AK31" s="513"/>
      <c r="AL31" s="513"/>
      <c r="AM31" s="513"/>
      <c r="AN31" s="513"/>
      <c r="AO31" s="513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4"/>
    </row>
  </sheetData>
  <sheetProtection password="DD3F" sheet="1" objects="1" scenarios="1"/>
  <mergeCells count="41">
    <mergeCell ref="BA3:BX3"/>
    <mergeCell ref="AD3:AY3"/>
    <mergeCell ref="B5:BX5"/>
    <mergeCell ref="S6:BX6"/>
    <mergeCell ref="O17:AG18"/>
    <mergeCell ref="O8:AG8"/>
    <mergeCell ref="AJ10:BB11"/>
    <mergeCell ref="N15:AH15"/>
    <mergeCell ref="BE17:BW18"/>
    <mergeCell ref="B7:M11"/>
    <mergeCell ref="BE8:BW9"/>
    <mergeCell ref="O10:AG11"/>
    <mergeCell ref="AJ9:BB9"/>
    <mergeCell ref="BE10:BW11"/>
    <mergeCell ref="B6:R6"/>
    <mergeCell ref="O9:AG9"/>
    <mergeCell ref="C21:L22"/>
    <mergeCell ref="BE13:BW14"/>
    <mergeCell ref="BE21:BW22"/>
    <mergeCell ref="AJ13:BB14"/>
    <mergeCell ref="BD15:BX15"/>
    <mergeCell ref="AJ17:BB18"/>
    <mergeCell ref="AI15:BC15"/>
    <mergeCell ref="AI19:BC19"/>
    <mergeCell ref="O21:AG22"/>
    <mergeCell ref="AJ8:BB8"/>
    <mergeCell ref="C29:L30"/>
    <mergeCell ref="N28:BX31"/>
    <mergeCell ref="AI27:BC27"/>
    <mergeCell ref="C17:L18"/>
    <mergeCell ref="BD19:BX19"/>
    <mergeCell ref="AJ25:BB26"/>
    <mergeCell ref="N19:AH19"/>
    <mergeCell ref="BE25:BW26"/>
    <mergeCell ref="C25:L26"/>
    <mergeCell ref="BD27:BX27"/>
    <mergeCell ref="O25:AG26"/>
    <mergeCell ref="N27:AH27"/>
    <mergeCell ref="AJ21:BB22"/>
    <mergeCell ref="C13:L14"/>
    <mergeCell ref="O13:AG14"/>
  </mergeCells>
  <phoneticPr fontId="2"/>
  <dataValidations count="1">
    <dataValidation imeMode="hiragana" allowBlank="1" showInputMessage="1" showErrorMessage="1" sqref="N28:BX31" xr:uid="{00000000-0002-0000-0200-000000000000}"/>
  </dataValidations>
  <pageMargins left="0.98425196850393704" right="0.78740157480314965" top="0.59055118110236227" bottom="0.39370078740157483" header="0.39370078740157483" footer="0.39370078740157483"/>
  <pageSetup paperSize="9" orientation="portrait" horizontalDpi="300" verticalDpi="300" r:id="rId1"/>
  <headerFooter alignWithMargins="0">
    <oddHeader xml:space="preserve">&amp;L&amp;"ＭＳ 明朝,標準"&amp;12別記第５号様式の附表（その１）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BV94"/>
  <sheetViews>
    <sheetView showZeros="0" tabSelected="1" view="pageBreakPreview" topLeftCell="A4" zoomScale="110" zoomScaleNormal="100" zoomScaleSheetLayoutView="110" workbookViewId="0">
      <pane xSplit="1" ySplit="7" topLeftCell="B14" activePane="bottomRight" state="frozen"/>
      <selection activeCell="A4" sqref="A4"/>
      <selection pane="topRight" activeCell="B4" sqref="B4"/>
      <selection pane="bottomLeft" activeCell="A11" sqref="A11"/>
      <selection pane="bottomRight" activeCell="O15" sqref="O15:X15"/>
    </sheetView>
  </sheetViews>
  <sheetFormatPr defaultRowHeight="13.5" x14ac:dyDescent="0.15"/>
  <cols>
    <col min="1" max="1" width="1.5" style="1" customWidth="1"/>
    <col min="2" max="2" width="0.875" style="1" customWidth="1"/>
    <col min="3" max="12" width="1.625" style="1" customWidth="1"/>
    <col min="13" max="14" width="0.75" style="1" customWidth="1"/>
    <col min="15" max="106" width="1.625" style="1" customWidth="1"/>
    <col min="107" max="16384" width="9" style="1"/>
  </cols>
  <sheetData>
    <row r="2" spans="2:74" ht="13.5" customHeight="1" x14ac:dyDescent="0.15">
      <c r="Y2" s="3"/>
    </row>
    <row r="3" spans="2:74" ht="13.5" customHeight="1" x14ac:dyDescent="0.15">
      <c r="X3" s="286" t="s">
        <v>54</v>
      </c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"/>
      <c r="AN3" s="287" t="str">
        <f>納入・納付申告書!$AV$12</f>
        <v>有限会社　オー・エス収集センター</v>
      </c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  <c r="BA3" s="287"/>
      <c r="BB3" s="287"/>
    </row>
    <row r="4" spans="2:74" ht="6.75" customHeight="1" x14ac:dyDescent="0.15"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</row>
    <row r="5" spans="2:74" ht="40.5" customHeight="1" x14ac:dyDescent="0.2">
      <c r="B5" s="360" t="s">
        <v>70</v>
      </c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1"/>
      <c r="AX5" s="361"/>
      <c r="AY5" s="361"/>
      <c r="AZ5" s="361"/>
      <c r="BA5" s="361"/>
      <c r="BB5" s="362"/>
    </row>
    <row r="6" spans="2:74" ht="15" customHeight="1" x14ac:dyDescent="0.15">
      <c r="B6" s="363" t="s">
        <v>9</v>
      </c>
      <c r="C6" s="364"/>
      <c r="D6" s="364"/>
      <c r="E6" s="364"/>
      <c r="F6" s="364"/>
      <c r="G6" s="364"/>
      <c r="H6" s="364"/>
      <c r="I6" s="364"/>
      <c r="J6" s="364"/>
      <c r="K6" s="366" t="str">
        <f>納入・納付申告書!CB43&amp;"分"</f>
        <v>令和7年4月分</v>
      </c>
      <c r="L6" s="367"/>
      <c r="M6" s="367"/>
      <c r="N6" s="367"/>
      <c r="O6" s="367"/>
      <c r="P6" s="367"/>
      <c r="Q6" s="367"/>
      <c r="R6" s="367"/>
      <c r="S6" s="367"/>
      <c r="T6" s="367"/>
      <c r="U6" s="367"/>
      <c r="V6" s="367"/>
      <c r="W6" s="367"/>
      <c r="X6" s="367"/>
      <c r="Y6" s="367"/>
      <c r="Z6" s="367"/>
      <c r="AA6" s="367"/>
      <c r="AB6" s="367"/>
      <c r="AC6" s="367"/>
      <c r="AD6" s="368"/>
      <c r="AE6" s="372" t="s">
        <v>71</v>
      </c>
      <c r="AF6" s="372"/>
      <c r="AG6" s="372"/>
      <c r="AH6" s="372"/>
      <c r="AI6" s="372"/>
      <c r="AJ6" s="372"/>
      <c r="AK6" s="372"/>
      <c r="AL6" s="372"/>
      <c r="AM6" s="364" t="s">
        <v>72</v>
      </c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74"/>
      <c r="BV6" s="1" t="s">
        <v>68</v>
      </c>
    </row>
    <row r="7" spans="2:74" ht="15" customHeight="1" x14ac:dyDescent="0.15">
      <c r="B7" s="365"/>
      <c r="C7" s="359"/>
      <c r="D7" s="359"/>
      <c r="E7" s="359"/>
      <c r="F7" s="359"/>
      <c r="G7" s="359"/>
      <c r="H7" s="359"/>
      <c r="I7" s="359"/>
      <c r="J7" s="359"/>
      <c r="K7" s="369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1"/>
      <c r="AE7" s="373"/>
      <c r="AF7" s="373"/>
      <c r="AG7" s="373"/>
      <c r="AH7" s="373"/>
      <c r="AI7" s="373"/>
      <c r="AJ7" s="373"/>
      <c r="AK7" s="373"/>
      <c r="AL7" s="373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  <c r="AZ7" s="359"/>
      <c r="BA7" s="359"/>
      <c r="BB7" s="375"/>
    </row>
    <row r="8" spans="2:74" ht="13.5" customHeight="1" x14ac:dyDescent="0.15">
      <c r="B8" s="335" t="s">
        <v>73</v>
      </c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7"/>
      <c r="N8" s="5"/>
      <c r="O8" s="339" t="s">
        <v>74</v>
      </c>
      <c r="P8" s="340"/>
      <c r="Q8" s="340"/>
      <c r="R8" s="340"/>
      <c r="S8" s="340"/>
      <c r="T8" s="340"/>
      <c r="U8" s="340"/>
      <c r="V8" s="340"/>
      <c r="W8" s="340"/>
      <c r="X8" s="341"/>
      <c r="Y8" s="332" t="s">
        <v>75</v>
      </c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  <c r="AO8" s="333"/>
      <c r="AP8" s="333"/>
      <c r="AQ8" s="333"/>
      <c r="AR8" s="334"/>
      <c r="AS8" s="339" t="s">
        <v>76</v>
      </c>
      <c r="AT8" s="345"/>
      <c r="AU8" s="345"/>
      <c r="AV8" s="345"/>
      <c r="AW8" s="345"/>
      <c r="AX8" s="345"/>
      <c r="AY8" s="345"/>
      <c r="AZ8" s="345"/>
      <c r="BA8" s="345"/>
      <c r="BB8" s="346"/>
    </row>
    <row r="9" spans="2:74" x14ac:dyDescent="0.15">
      <c r="B9" s="338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7"/>
      <c r="N9"/>
      <c r="O9" s="342"/>
      <c r="P9" s="343"/>
      <c r="Q9" s="343"/>
      <c r="R9" s="343"/>
      <c r="S9" s="343"/>
      <c r="T9" s="343"/>
      <c r="U9" s="343"/>
      <c r="V9" s="343"/>
      <c r="W9" s="343"/>
      <c r="X9" s="344"/>
      <c r="Y9" s="354" t="s">
        <v>77</v>
      </c>
      <c r="Z9" s="340"/>
      <c r="AA9" s="340"/>
      <c r="AB9" s="340"/>
      <c r="AC9" s="340"/>
      <c r="AD9" s="341"/>
      <c r="AE9" s="354" t="s">
        <v>78</v>
      </c>
      <c r="AF9" s="355"/>
      <c r="AG9" s="356"/>
      <c r="AH9" s="357"/>
      <c r="AI9" s="354" t="s">
        <v>79</v>
      </c>
      <c r="AJ9" s="355"/>
      <c r="AK9" s="356"/>
      <c r="AL9" s="356"/>
      <c r="AM9" s="356"/>
      <c r="AN9" s="356"/>
      <c r="AO9" s="356"/>
      <c r="AP9" s="356"/>
      <c r="AQ9" s="356"/>
      <c r="AR9" s="357"/>
      <c r="AS9" s="347"/>
      <c r="AT9" s="284"/>
      <c r="AU9" s="284"/>
      <c r="AV9" s="284"/>
      <c r="AW9" s="284"/>
      <c r="AX9" s="284"/>
      <c r="AY9" s="284"/>
      <c r="AZ9" s="284"/>
      <c r="BA9" s="284"/>
      <c r="BB9" s="348"/>
    </row>
    <row r="10" spans="2:74" ht="13.5" customHeight="1" x14ac:dyDescent="0.15">
      <c r="B10" s="338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7"/>
      <c r="N10"/>
      <c r="O10" s="349" t="s">
        <v>64</v>
      </c>
      <c r="P10" s="350"/>
      <c r="Q10" s="350"/>
      <c r="R10" s="350"/>
      <c r="S10" s="350"/>
      <c r="T10" s="350"/>
      <c r="U10" s="350"/>
      <c r="V10" s="350"/>
      <c r="W10" s="350"/>
      <c r="X10" s="358"/>
      <c r="Y10" s="349" t="s">
        <v>99</v>
      </c>
      <c r="Z10" s="350"/>
      <c r="AA10" s="350"/>
      <c r="AB10" s="350"/>
      <c r="AC10" s="350"/>
      <c r="AD10" s="358"/>
      <c r="AE10" s="349" t="s">
        <v>100</v>
      </c>
      <c r="AF10" s="359"/>
      <c r="AG10" s="350"/>
      <c r="AH10" s="358"/>
      <c r="AI10" s="349" t="s">
        <v>101</v>
      </c>
      <c r="AJ10" s="359"/>
      <c r="AK10" s="350"/>
      <c r="AL10" s="350"/>
      <c r="AM10" s="350"/>
      <c r="AN10" s="350"/>
      <c r="AO10" s="350"/>
      <c r="AP10" s="350"/>
      <c r="AQ10" s="350"/>
      <c r="AR10" s="358"/>
      <c r="AS10" s="349" t="s">
        <v>102</v>
      </c>
      <c r="AT10" s="350"/>
      <c r="AU10" s="350"/>
      <c r="AV10" s="350"/>
      <c r="AW10" s="350"/>
      <c r="AX10" s="350"/>
      <c r="AY10" s="350"/>
      <c r="AZ10" s="350"/>
      <c r="BA10" s="350"/>
      <c r="BB10" s="351"/>
    </row>
    <row r="11" spans="2:74" ht="31.5" customHeight="1" x14ac:dyDescent="0.15">
      <c r="B11" s="93"/>
      <c r="C11" s="320" t="s">
        <v>80</v>
      </c>
      <c r="D11" s="321"/>
      <c r="E11" s="321"/>
      <c r="F11" s="321"/>
      <c r="G11" s="321"/>
      <c r="H11" s="321"/>
      <c r="I11" s="321"/>
      <c r="J11" s="321"/>
      <c r="K11" s="321"/>
      <c r="L11" s="321"/>
      <c r="M11" s="322"/>
      <c r="N11" s="94"/>
      <c r="O11" s="323"/>
      <c r="P11" s="352"/>
      <c r="Q11" s="352"/>
      <c r="R11" s="352"/>
      <c r="S11" s="352"/>
      <c r="T11" s="352"/>
      <c r="U11" s="352"/>
      <c r="V11" s="352"/>
      <c r="W11" s="352"/>
      <c r="X11" s="353"/>
      <c r="Y11" s="304"/>
      <c r="Z11" s="305"/>
      <c r="AA11" s="305"/>
      <c r="AB11" s="305"/>
      <c r="AC11" s="305"/>
      <c r="AD11" s="306"/>
      <c r="AE11" s="326">
        <f>1.14*1</f>
        <v>1.1399999999999999</v>
      </c>
      <c r="AF11" s="327"/>
      <c r="AG11" s="327"/>
      <c r="AH11" s="328"/>
      <c r="AI11" s="288">
        <f>ROUNDDOWN(ROUNDDOWN(Y11,3)*AE11,5)</f>
        <v>0</v>
      </c>
      <c r="AJ11" s="289"/>
      <c r="AK11" s="289"/>
      <c r="AL11" s="289"/>
      <c r="AM11" s="289"/>
      <c r="AN11" s="289"/>
      <c r="AO11" s="289"/>
      <c r="AP11" s="289"/>
      <c r="AQ11" s="289"/>
      <c r="AR11" s="290"/>
      <c r="AS11" s="288">
        <f>O11+AI11</f>
        <v>0</v>
      </c>
      <c r="AT11" s="289"/>
      <c r="AU11" s="289"/>
      <c r="AV11" s="289"/>
      <c r="AW11" s="289"/>
      <c r="AX11" s="289"/>
      <c r="AY11" s="289"/>
      <c r="AZ11" s="289"/>
      <c r="BA11" s="289"/>
      <c r="BB11" s="291"/>
    </row>
    <row r="12" spans="2:74" ht="31.5" customHeight="1" x14ac:dyDescent="0.15">
      <c r="B12" s="93"/>
      <c r="C12" s="320" t="s">
        <v>81</v>
      </c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94"/>
      <c r="O12" s="323"/>
      <c r="P12" s="324"/>
      <c r="Q12" s="324"/>
      <c r="R12" s="324"/>
      <c r="S12" s="324"/>
      <c r="T12" s="324"/>
      <c r="U12" s="324"/>
      <c r="V12" s="324"/>
      <c r="W12" s="324"/>
      <c r="X12" s="325"/>
      <c r="Y12" s="304"/>
      <c r="Z12" s="305"/>
      <c r="AA12" s="305"/>
      <c r="AB12" s="305"/>
      <c r="AC12" s="305"/>
      <c r="AD12" s="306"/>
      <c r="AE12" s="326">
        <f>1.1*1</f>
        <v>1.1000000000000001</v>
      </c>
      <c r="AF12" s="327"/>
      <c r="AG12" s="327"/>
      <c r="AH12" s="328"/>
      <c r="AI12" s="288">
        <f t="shared" ref="AI12:AI28" si="0">ROUNDDOWN(ROUNDDOWN(Y12,3)*AE12,5)</f>
        <v>0</v>
      </c>
      <c r="AJ12" s="289"/>
      <c r="AK12" s="289"/>
      <c r="AL12" s="289"/>
      <c r="AM12" s="289"/>
      <c r="AN12" s="289"/>
      <c r="AO12" s="289"/>
      <c r="AP12" s="289"/>
      <c r="AQ12" s="289"/>
      <c r="AR12" s="290"/>
      <c r="AS12" s="288">
        <f t="shared" ref="AS12:AS27" si="1">O12+AI12</f>
        <v>0</v>
      </c>
      <c r="AT12" s="289"/>
      <c r="AU12" s="289"/>
      <c r="AV12" s="289"/>
      <c r="AW12" s="289"/>
      <c r="AX12" s="289"/>
      <c r="AY12" s="289"/>
      <c r="AZ12" s="289"/>
      <c r="BA12" s="289"/>
      <c r="BB12" s="291"/>
    </row>
    <row r="13" spans="2:74" ht="31.5" customHeight="1" x14ac:dyDescent="0.15">
      <c r="B13" s="93"/>
      <c r="C13" s="320" t="s">
        <v>82</v>
      </c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94"/>
      <c r="O13" s="323"/>
      <c r="P13" s="324"/>
      <c r="Q13" s="324"/>
      <c r="R13" s="324"/>
      <c r="S13" s="324"/>
      <c r="T13" s="324"/>
      <c r="U13" s="324"/>
      <c r="V13" s="324"/>
      <c r="W13" s="324"/>
      <c r="X13" s="325"/>
      <c r="Y13" s="304"/>
      <c r="Z13" s="305"/>
      <c r="AA13" s="305"/>
      <c r="AB13" s="305"/>
      <c r="AC13" s="305"/>
      <c r="AD13" s="306"/>
      <c r="AE13" s="326">
        <f>0.9*1</f>
        <v>0.9</v>
      </c>
      <c r="AF13" s="327"/>
      <c r="AG13" s="327"/>
      <c r="AH13" s="328"/>
      <c r="AI13" s="288">
        <f t="shared" si="0"/>
        <v>0</v>
      </c>
      <c r="AJ13" s="289"/>
      <c r="AK13" s="289"/>
      <c r="AL13" s="289"/>
      <c r="AM13" s="289"/>
      <c r="AN13" s="289"/>
      <c r="AO13" s="289"/>
      <c r="AP13" s="289"/>
      <c r="AQ13" s="289"/>
      <c r="AR13" s="290"/>
      <c r="AS13" s="288">
        <f t="shared" si="1"/>
        <v>0</v>
      </c>
      <c r="AT13" s="289"/>
      <c r="AU13" s="289"/>
      <c r="AV13" s="289"/>
      <c r="AW13" s="289"/>
      <c r="AX13" s="289"/>
      <c r="AY13" s="289"/>
      <c r="AZ13" s="289"/>
      <c r="BA13" s="289"/>
      <c r="BB13" s="291"/>
    </row>
    <row r="14" spans="2:74" ht="31.5" customHeight="1" x14ac:dyDescent="0.15">
      <c r="B14" s="93"/>
      <c r="C14" s="320" t="s">
        <v>83</v>
      </c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94"/>
      <c r="O14" s="323"/>
      <c r="P14" s="324"/>
      <c r="Q14" s="324"/>
      <c r="R14" s="324"/>
      <c r="S14" s="324"/>
      <c r="T14" s="324"/>
      <c r="U14" s="324"/>
      <c r="V14" s="324"/>
      <c r="W14" s="324"/>
      <c r="X14" s="325"/>
      <c r="Y14" s="304"/>
      <c r="Z14" s="305"/>
      <c r="AA14" s="305"/>
      <c r="AB14" s="305"/>
      <c r="AC14" s="305"/>
      <c r="AD14" s="306"/>
      <c r="AE14" s="326">
        <f>0.35*1</f>
        <v>0.35</v>
      </c>
      <c r="AF14" s="327"/>
      <c r="AG14" s="327"/>
      <c r="AH14" s="328"/>
      <c r="AI14" s="288">
        <f t="shared" si="0"/>
        <v>0</v>
      </c>
      <c r="AJ14" s="289"/>
      <c r="AK14" s="289"/>
      <c r="AL14" s="289"/>
      <c r="AM14" s="289"/>
      <c r="AN14" s="289"/>
      <c r="AO14" s="289"/>
      <c r="AP14" s="289"/>
      <c r="AQ14" s="289"/>
      <c r="AR14" s="290"/>
      <c r="AS14" s="288">
        <f t="shared" si="1"/>
        <v>0</v>
      </c>
      <c r="AT14" s="289"/>
      <c r="AU14" s="289"/>
      <c r="AV14" s="289"/>
      <c r="AW14" s="289"/>
      <c r="AX14" s="289"/>
      <c r="AY14" s="289"/>
      <c r="AZ14" s="289"/>
      <c r="BA14" s="289"/>
      <c r="BB14" s="291"/>
    </row>
    <row r="15" spans="2:74" ht="31.5" customHeight="1" x14ac:dyDescent="0.15">
      <c r="B15" s="93"/>
      <c r="C15" s="320" t="s">
        <v>84</v>
      </c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94"/>
      <c r="O15" s="323"/>
      <c r="P15" s="324"/>
      <c r="Q15" s="324"/>
      <c r="R15" s="324"/>
      <c r="S15" s="324"/>
      <c r="T15" s="324"/>
      <c r="U15" s="324"/>
      <c r="V15" s="324"/>
      <c r="W15" s="324"/>
      <c r="X15" s="325"/>
      <c r="Y15" s="304"/>
      <c r="Z15" s="305"/>
      <c r="AA15" s="305"/>
      <c r="AB15" s="305"/>
      <c r="AC15" s="305"/>
      <c r="AD15" s="306"/>
      <c r="AE15" s="326">
        <f>0.3*1</f>
        <v>0.3</v>
      </c>
      <c r="AF15" s="327"/>
      <c r="AG15" s="327"/>
      <c r="AH15" s="328"/>
      <c r="AI15" s="288">
        <f t="shared" si="0"/>
        <v>0</v>
      </c>
      <c r="AJ15" s="289"/>
      <c r="AK15" s="289"/>
      <c r="AL15" s="289"/>
      <c r="AM15" s="289"/>
      <c r="AN15" s="289"/>
      <c r="AO15" s="289"/>
      <c r="AP15" s="289"/>
      <c r="AQ15" s="289"/>
      <c r="AR15" s="290"/>
      <c r="AS15" s="288">
        <f t="shared" si="1"/>
        <v>0</v>
      </c>
      <c r="AT15" s="289"/>
      <c r="AU15" s="289"/>
      <c r="AV15" s="289"/>
      <c r="AW15" s="289"/>
      <c r="AX15" s="289"/>
      <c r="AY15" s="289"/>
      <c r="AZ15" s="289"/>
      <c r="BA15" s="289"/>
      <c r="BB15" s="291"/>
    </row>
    <row r="16" spans="2:74" ht="31.5" customHeight="1" x14ac:dyDescent="0.15">
      <c r="B16" s="93"/>
      <c r="C16" s="320" t="s">
        <v>85</v>
      </c>
      <c r="D16" s="321"/>
      <c r="E16" s="321"/>
      <c r="F16" s="321"/>
      <c r="G16" s="321"/>
      <c r="H16" s="321"/>
      <c r="I16" s="321"/>
      <c r="J16" s="321"/>
      <c r="K16" s="321"/>
      <c r="L16" s="321"/>
      <c r="M16" s="322"/>
      <c r="N16" s="94"/>
      <c r="O16" s="323"/>
      <c r="P16" s="324"/>
      <c r="Q16" s="324"/>
      <c r="R16" s="324"/>
      <c r="S16" s="324"/>
      <c r="T16" s="324"/>
      <c r="U16" s="324"/>
      <c r="V16" s="324"/>
      <c r="W16" s="324"/>
      <c r="X16" s="325"/>
      <c r="Y16" s="304"/>
      <c r="Z16" s="305"/>
      <c r="AA16" s="305"/>
      <c r="AB16" s="305"/>
      <c r="AC16" s="305"/>
      <c r="AD16" s="306"/>
      <c r="AE16" s="326">
        <f>0.55*1</f>
        <v>0.55000000000000004</v>
      </c>
      <c r="AF16" s="327"/>
      <c r="AG16" s="327"/>
      <c r="AH16" s="328"/>
      <c r="AI16" s="288">
        <f t="shared" si="0"/>
        <v>0</v>
      </c>
      <c r="AJ16" s="289"/>
      <c r="AK16" s="289"/>
      <c r="AL16" s="289"/>
      <c r="AM16" s="289"/>
      <c r="AN16" s="289"/>
      <c r="AO16" s="289"/>
      <c r="AP16" s="289"/>
      <c r="AQ16" s="289"/>
      <c r="AR16" s="290"/>
      <c r="AS16" s="288">
        <f t="shared" si="1"/>
        <v>0</v>
      </c>
      <c r="AT16" s="289"/>
      <c r="AU16" s="289"/>
      <c r="AV16" s="289"/>
      <c r="AW16" s="289"/>
      <c r="AX16" s="289"/>
      <c r="AY16" s="289"/>
      <c r="AZ16" s="289"/>
      <c r="BA16" s="289"/>
      <c r="BB16" s="291"/>
    </row>
    <row r="17" spans="2:54" ht="31.5" customHeight="1" x14ac:dyDescent="0.15">
      <c r="B17" s="93"/>
      <c r="C17" s="320" t="s">
        <v>86</v>
      </c>
      <c r="D17" s="321"/>
      <c r="E17" s="321"/>
      <c r="F17" s="321"/>
      <c r="G17" s="321"/>
      <c r="H17" s="321"/>
      <c r="I17" s="321"/>
      <c r="J17" s="321"/>
      <c r="K17" s="321"/>
      <c r="L17" s="321"/>
      <c r="M17" s="322"/>
      <c r="N17" s="94"/>
      <c r="O17" s="323"/>
      <c r="P17" s="324"/>
      <c r="Q17" s="324"/>
      <c r="R17" s="324"/>
      <c r="S17" s="324"/>
      <c r="T17" s="324"/>
      <c r="U17" s="324"/>
      <c r="V17" s="324"/>
      <c r="W17" s="324"/>
      <c r="X17" s="325"/>
      <c r="Y17" s="304"/>
      <c r="Z17" s="305"/>
      <c r="AA17" s="305"/>
      <c r="AB17" s="305"/>
      <c r="AC17" s="305"/>
      <c r="AD17" s="306"/>
      <c r="AE17" s="326">
        <f>0.12*1</f>
        <v>0.12</v>
      </c>
      <c r="AF17" s="327"/>
      <c r="AG17" s="327"/>
      <c r="AH17" s="328"/>
      <c r="AI17" s="288">
        <f t="shared" si="0"/>
        <v>0</v>
      </c>
      <c r="AJ17" s="289"/>
      <c r="AK17" s="289"/>
      <c r="AL17" s="289"/>
      <c r="AM17" s="289"/>
      <c r="AN17" s="289"/>
      <c r="AO17" s="289"/>
      <c r="AP17" s="289"/>
      <c r="AQ17" s="289"/>
      <c r="AR17" s="290"/>
      <c r="AS17" s="288">
        <f t="shared" si="1"/>
        <v>0</v>
      </c>
      <c r="AT17" s="289"/>
      <c r="AU17" s="289"/>
      <c r="AV17" s="289"/>
      <c r="AW17" s="289"/>
      <c r="AX17" s="289"/>
      <c r="AY17" s="289"/>
      <c r="AZ17" s="289"/>
      <c r="BA17" s="289"/>
      <c r="BB17" s="291"/>
    </row>
    <row r="18" spans="2:54" ht="31.5" customHeight="1" x14ac:dyDescent="0.15">
      <c r="B18" s="93"/>
      <c r="C18" s="330" t="s">
        <v>87</v>
      </c>
      <c r="D18" s="330"/>
      <c r="E18" s="330"/>
      <c r="F18" s="330"/>
      <c r="G18" s="330"/>
      <c r="H18" s="330"/>
      <c r="I18" s="330"/>
      <c r="J18" s="330"/>
      <c r="K18" s="330"/>
      <c r="L18" s="330"/>
      <c r="M18" s="331"/>
      <c r="N18" s="94"/>
      <c r="O18" s="323"/>
      <c r="P18" s="324"/>
      <c r="Q18" s="324"/>
      <c r="R18" s="324"/>
      <c r="S18" s="324"/>
      <c r="T18" s="324"/>
      <c r="U18" s="324"/>
      <c r="V18" s="324"/>
      <c r="W18" s="324"/>
      <c r="X18" s="325"/>
      <c r="Y18" s="304"/>
      <c r="Z18" s="305"/>
      <c r="AA18" s="305"/>
      <c r="AB18" s="305"/>
      <c r="AC18" s="305"/>
      <c r="AD18" s="306"/>
      <c r="AE18" s="326">
        <f>1*1</f>
        <v>1</v>
      </c>
      <c r="AF18" s="327"/>
      <c r="AG18" s="327"/>
      <c r="AH18" s="328"/>
      <c r="AI18" s="288">
        <f t="shared" si="0"/>
        <v>0</v>
      </c>
      <c r="AJ18" s="289"/>
      <c r="AK18" s="289"/>
      <c r="AL18" s="289"/>
      <c r="AM18" s="289"/>
      <c r="AN18" s="289"/>
      <c r="AO18" s="289"/>
      <c r="AP18" s="289"/>
      <c r="AQ18" s="289"/>
      <c r="AR18" s="290"/>
      <c r="AS18" s="288">
        <f t="shared" si="1"/>
        <v>0</v>
      </c>
      <c r="AT18" s="289"/>
      <c r="AU18" s="289"/>
      <c r="AV18" s="289"/>
      <c r="AW18" s="289"/>
      <c r="AX18" s="289"/>
      <c r="AY18" s="289"/>
      <c r="AZ18" s="289"/>
      <c r="BA18" s="289"/>
      <c r="BB18" s="291"/>
    </row>
    <row r="19" spans="2:54" ht="31.5" customHeight="1" x14ac:dyDescent="0.15">
      <c r="B19" s="93"/>
      <c r="C19" s="298" t="s">
        <v>88</v>
      </c>
      <c r="D19" s="299"/>
      <c r="E19" s="299"/>
      <c r="F19" s="299"/>
      <c r="G19" s="299"/>
      <c r="H19" s="299"/>
      <c r="I19" s="299"/>
      <c r="J19" s="299"/>
      <c r="K19" s="299"/>
      <c r="L19" s="299"/>
      <c r="M19" s="300"/>
      <c r="N19" s="94"/>
      <c r="O19" s="323"/>
      <c r="P19" s="324"/>
      <c r="Q19" s="324"/>
      <c r="R19" s="324"/>
      <c r="S19" s="324"/>
      <c r="T19" s="324"/>
      <c r="U19" s="324"/>
      <c r="V19" s="324"/>
      <c r="W19" s="324"/>
      <c r="X19" s="325"/>
      <c r="Y19" s="304"/>
      <c r="Z19" s="305"/>
      <c r="AA19" s="305"/>
      <c r="AB19" s="305"/>
      <c r="AC19" s="305"/>
      <c r="AD19" s="306"/>
      <c r="AE19" s="326">
        <f>1*1</f>
        <v>1</v>
      </c>
      <c r="AF19" s="327"/>
      <c r="AG19" s="327"/>
      <c r="AH19" s="328"/>
      <c r="AI19" s="288">
        <f t="shared" si="0"/>
        <v>0</v>
      </c>
      <c r="AJ19" s="289"/>
      <c r="AK19" s="289"/>
      <c r="AL19" s="289"/>
      <c r="AM19" s="289"/>
      <c r="AN19" s="289"/>
      <c r="AO19" s="289"/>
      <c r="AP19" s="289"/>
      <c r="AQ19" s="289"/>
      <c r="AR19" s="290"/>
      <c r="AS19" s="288">
        <f t="shared" si="1"/>
        <v>0</v>
      </c>
      <c r="AT19" s="289"/>
      <c r="AU19" s="289"/>
      <c r="AV19" s="289"/>
      <c r="AW19" s="289"/>
      <c r="AX19" s="289"/>
      <c r="AY19" s="289"/>
      <c r="AZ19" s="289"/>
      <c r="BA19" s="289"/>
      <c r="BB19" s="291"/>
    </row>
    <row r="20" spans="2:54" ht="31.5" customHeight="1" x14ac:dyDescent="0.15">
      <c r="B20" s="93"/>
      <c r="C20" s="320" t="s">
        <v>103</v>
      </c>
      <c r="D20" s="321"/>
      <c r="E20" s="321"/>
      <c r="F20" s="321"/>
      <c r="G20" s="321"/>
      <c r="H20" s="321"/>
      <c r="I20" s="321"/>
      <c r="J20" s="321"/>
      <c r="K20" s="321"/>
      <c r="L20" s="321"/>
      <c r="M20" s="322"/>
      <c r="N20" s="94"/>
      <c r="O20" s="323"/>
      <c r="P20" s="324"/>
      <c r="Q20" s="324"/>
      <c r="R20" s="324"/>
      <c r="S20" s="324"/>
      <c r="T20" s="324"/>
      <c r="U20" s="324"/>
      <c r="V20" s="324"/>
      <c r="W20" s="324"/>
      <c r="X20" s="325"/>
      <c r="Y20" s="304"/>
      <c r="Z20" s="305"/>
      <c r="AA20" s="305"/>
      <c r="AB20" s="305"/>
      <c r="AC20" s="305"/>
      <c r="AD20" s="306"/>
      <c r="AE20" s="326">
        <f>1*0.52</f>
        <v>0.52</v>
      </c>
      <c r="AF20" s="327"/>
      <c r="AG20" s="327"/>
      <c r="AH20" s="328"/>
      <c r="AI20" s="288">
        <f t="shared" si="0"/>
        <v>0</v>
      </c>
      <c r="AJ20" s="289"/>
      <c r="AK20" s="289"/>
      <c r="AL20" s="289"/>
      <c r="AM20" s="289"/>
      <c r="AN20" s="289"/>
      <c r="AO20" s="289"/>
      <c r="AP20" s="289"/>
      <c r="AQ20" s="289"/>
      <c r="AR20" s="290"/>
      <c r="AS20" s="288">
        <f t="shared" si="1"/>
        <v>0</v>
      </c>
      <c r="AT20" s="289"/>
      <c r="AU20" s="289"/>
      <c r="AV20" s="289"/>
      <c r="AW20" s="289"/>
      <c r="AX20" s="289"/>
      <c r="AY20" s="289"/>
      <c r="AZ20" s="289"/>
      <c r="BA20" s="289"/>
      <c r="BB20" s="291"/>
    </row>
    <row r="21" spans="2:54" ht="31.5" customHeight="1" x14ac:dyDescent="0.15">
      <c r="B21" s="93"/>
      <c r="C21" s="320" t="s">
        <v>89</v>
      </c>
      <c r="D21" s="321"/>
      <c r="E21" s="321"/>
      <c r="F21" s="321"/>
      <c r="G21" s="321"/>
      <c r="H21" s="321"/>
      <c r="I21" s="321"/>
      <c r="J21" s="321"/>
      <c r="K21" s="321"/>
      <c r="L21" s="321"/>
      <c r="M21" s="322"/>
      <c r="N21" s="94"/>
      <c r="O21" s="323"/>
      <c r="P21" s="324"/>
      <c r="Q21" s="324"/>
      <c r="R21" s="324"/>
      <c r="S21" s="324"/>
      <c r="T21" s="324"/>
      <c r="U21" s="324"/>
      <c r="V21" s="324"/>
      <c r="W21" s="324"/>
      <c r="X21" s="325"/>
      <c r="Y21" s="304"/>
      <c r="Z21" s="305"/>
      <c r="AA21" s="305"/>
      <c r="AB21" s="305"/>
      <c r="AC21" s="305"/>
      <c r="AD21" s="306"/>
      <c r="AE21" s="326">
        <f>1*1.13</f>
        <v>1.1299999999999999</v>
      </c>
      <c r="AF21" s="327"/>
      <c r="AG21" s="327"/>
      <c r="AH21" s="328"/>
      <c r="AI21" s="288">
        <f t="shared" si="0"/>
        <v>0</v>
      </c>
      <c r="AJ21" s="289"/>
      <c r="AK21" s="289"/>
      <c r="AL21" s="289"/>
      <c r="AM21" s="289"/>
      <c r="AN21" s="289"/>
      <c r="AO21" s="289"/>
      <c r="AP21" s="289"/>
      <c r="AQ21" s="289"/>
      <c r="AR21" s="290"/>
      <c r="AS21" s="288">
        <f t="shared" si="1"/>
        <v>0</v>
      </c>
      <c r="AT21" s="289"/>
      <c r="AU21" s="289"/>
      <c r="AV21" s="289"/>
      <c r="AW21" s="289"/>
      <c r="AX21" s="289"/>
      <c r="AY21" s="289"/>
      <c r="AZ21" s="289"/>
      <c r="BA21" s="289"/>
      <c r="BB21" s="291"/>
    </row>
    <row r="22" spans="2:54" ht="31.5" customHeight="1" x14ac:dyDescent="0.15">
      <c r="B22" s="93"/>
      <c r="C22" s="320" t="s">
        <v>90</v>
      </c>
      <c r="D22" s="321"/>
      <c r="E22" s="321"/>
      <c r="F22" s="321"/>
      <c r="G22" s="321"/>
      <c r="H22" s="321"/>
      <c r="I22" s="321"/>
      <c r="J22" s="321"/>
      <c r="K22" s="321"/>
      <c r="L22" s="321"/>
      <c r="M22" s="329"/>
      <c r="N22" s="94"/>
      <c r="O22" s="323"/>
      <c r="P22" s="324"/>
      <c r="Q22" s="324"/>
      <c r="R22" s="324"/>
      <c r="S22" s="324"/>
      <c r="T22" s="324"/>
      <c r="U22" s="324"/>
      <c r="V22" s="324"/>
      <c r="W22" s="324"/>
      <c r="X22" s="325"/>
      <c r="Y22" s="304"/>
      <c r="Z22" s="305"/>
      <c r="AA22" s="305"/>
      <c r="AB22" s="305"/>
      <c r="AC22" s="305"/>
      <c r="AD22" s="306"/>
      <c r="AE22" s="326">
        <f>1*1</f>
        <v>1</v>
      </c>
      <c r="AF22" s="327"/>
      <c r="AG22" s="327"/>
      <c r="AH22" s="328"/>
      <c r="AI22" s="288">
        <f t="shared" si="0"/>
        <v>0</v>
      </c>
      <c r="AJ22" s="289"/>
      <c r="AK22" s="289"/>
      <c r="AL22" s="289"/>
      <c r="AM22" s="289"/>
      <c r="AN22" s="289"/>
      <c r="AO22" s="289"/>
      <c r="AP22" s="289"/>
      <c r="AQ22" s="289"/>
      <c r="AR22" s="290"/>
      <c r="AS22" s="288">
        <f t="shared" si="1"/>
        <v>0</v>
      </c>
      <c r="AT22" s="289"/>
      <c r="AU22" s="289"/>
      <c r="AV22" s="289"/>
      <c r="AW22" s="289"/>
      <c r="AX22" s="289"/>
      <c r="AY22" s="289"/>
      <c r="AZ22" s="289"/>
      <c r="BA22" s="289"/>
      <c r="BB22" s="291"/>
    </row>
    <row r="23" spans="2:54" ht="31.5" customHeight="1" x14ac:dyDescent="0.15">
      <c r="B23" s="93"/>
      <c r="C23" s="320" t="s">
        <v>91</v>
      </c>
      <c r="D23" s="321"/>
      <c r="E23" s="321"/>
      <c r="F23" s="321"/>
      <c r="G23" s="321"/>
      <c r="H23" s="321"/>
      <c r="I23" s="321"/>
      <c r="J23" s="321"/>
      <c r="K23" s="321"/>
      <c r="L23" s="321"/>
      <c r="M23" s="322"/>
      <c r="N23" s="94"/>
      <c r="O23" s="323"/>
      <c r="P23" s="324"/>
      <c r="Q23" s="324"/>
      <c r="R23" s="324"/>
      <c r="S23" s="324"/>
      <c r="T23" s="324"/>
      <c r="U23" s="324"/>
      <c r="V23" s="324"/>
      <c r="W23" s="324"/>
      <c r="X23" s="325"/>
      <c r="Y23" s="304"/>
      <c r="Z23" s="305"/>
      <c r="AA23" s="305"/>
      <c r="AB23" s="305"/>
      <c r="AC23" s="305"/>
      <c r="AD23" s="306"/>
      <c r="AE23" s="326">
        <f>1*1.93</f>
        <v>1.93</v>
      </c>
      <c r="AF23" s="327"/>
      <c r="AG23" s="327"/>
      <c r="AH23" s="328"/>
      <c r="AI23" s="288">
        <f t="shared" si="0"/>
        <v>0</v>
      </c>
      <c r="AJ23" s="289"/>
      <c r="AK23" s="289"/>
      <c r="AL23" s="289"/>
      <c r="AM23" s="289"/>
      <c r="AN23" s="289"/>
      <c r="AO23" s="289"/>
      <c r="AP23" s="289"/>
      <c r="AQ23" s="289"/>
      <c r="AR23" s="290"/>
      <c r="AS23" s="288">
        <f t="shared" si="1"/>
        <v>0</v>
      </c>
      <c r="AT23" s="289"/>
      <c r="AU23" s="289"/>
      <c r="AV23" s="289"/>
      <c r="AW23" s="289"/>
      <c r="AX23" s="289"/>
      <c r="AY23" s="289"/>
      <c r="AZ23" s="289"/>
      <c r="BA23" s="289"/>
      <c r="BB23" s="291"/>
    </row>
    <row r="24" spans="2:54" ht="31.5" customHeight="1" x14ac:dyDescent="0.15">
      <c r="B24" s="93"/>
      <c r="C24" s="320" t="s">
        <v>92</v>
      </c>
      <c r="D24" s="321"/>
      <c r="E24" s="321"/>
      <c r="F24" s="321"/>
      <c r="G24" s="321"/>
      <c r="H24" s="321"/>
      <c r="I24" s="321"/>
      <c r="J24" s="321"/>
      <c r="K24" s="321"/>
      <c r="L24" s="321"/>
      <c r="M24" s="329"/>
      <c r="N24" s="94"/>
      <c r="O24" s="323"/>
      <c r="P24" s="324"/>
      <c r="Q24" s="324"/>
      <c r="R24" s="324"/>
      <c r="S24" s="324"/>
      <c r="T24" s="324"/>
      <c r="U24" s="324"/>
      <c r="V24" s="324"/>
      <c r="W24" s="324"/>
      <c r="X24" s="325"/>
      <c r="Y24" s="304"/>
      <c r="Z24" s="305"/>
      <c r="AA24" s="305"/>
      <c r="AB24" s="305"/>
      <c r="AC24" s="305"/>
      <c r="AD24" s="306"/>
      <c r="AE24" s="326">
        <f>1*1.48</f>
        <v>1.48</v>
      </c>
      <c r="AF24" s="327"/>
      <c r="AG24" s="327"/>
      <c r="AH24" s="328"/>
      <c r="AI24" s="288">
        <f t="shared" si="0"/>
        <v>0</v>
      </c>
      <c r="AJ24" s="289"/>
      <c r="AK24" s="289"/>
      <c r="AL24" s="289"/>
      <c r="AM24" s="289"/>
      <c r="AN24" s="289"/>
      <c r="AO24" s="289"/>
      <c r="AP24" s="289"/>
      <c r="AQ24" s="289"/>
      <c r="AR24" s="290"/>
      <c r="AS24" s="288">
        <f t="shared" si="1"/>
        <v>0</v>
      </c>
      <c r="AT24" s="289"/>
      <c r="AU24" s="289"/>
      <c r="AV24" s="289"/>
      <c r="AW24" s="289"/>
      <c r="AX24" s="289"/>
      <c r="AY24" s="289"/>
      <c r="AZ24" s="289"/>
      <c r="BA24" s="289"/>
      <c r="BB24" s="291"/>
    </row>
    <row r="25" spans="2:54" ht="31.5" customHeight="1" x14ac:dyDescent="0.15">
      <c r="B25" s="93"/>
      <c r="C25" s="320" t="s">
        <v>93</v>
      </c>
      <c r="D25" s="321"/>
      <c r="E25" s="321"/>
      <c r="F25" s="321"/>
      <c r="G25" s="321"/>
      <c r="H25" s="321"/>
      <c r="I25" s="321"/>
      <c r="J25" s="321"/>
      <c r="K25" s="321"/>
      <c r="L25" s="321"/>
      <c r="M25" s="322"/>
      <c r="N25" s="94"/>
      <c r="O25" s="323"/>
      <c r="P25" s="324"/>
      <c r="Q25" s="324"/>
      <c r="R25" s="324"/>
      <c r="S25" s="324"/>
      <c r="T25" s="324"/>
      <c r="U25" s="324"/>
      <c r="V25" s="324"/>
      <c r="W25" s="324"/>
      <c r="X25" s="325"/>
      <c r="Y25" s="304"/>
      <c r="Z25" s="305"/>
      <c r="AA25" s="305"/>
      <c r="AB25" s="305"/>
      <c r="AC25" s="305"/>
      <c r="AD25" s="306"/>
      <c r="AE25" s="326">
        <f>1*1</f>
        <v>1</v>
      </c>
      <c r="AF25" s="327"/>
      <c r="AG25" s="327"/>
      <c r="AH25" s="328"/>
      <c r="AI25" s="288">
        <f t="shared" si="0"/>
        <v>0</v>
      </c>
      <c r="AJ25" s="289"/>
      <c r="AK25" s="289"/>
      <c r="AL25" s="289"/>
      <c r="AM25" s="289"/>
      <c r="AN25" s="289"/>
      <c r="AO25" s="289"/>
      <c r="AP25" s="289"/>
      <c r="AQ25" s="289"/>
      <c r="AR25" s="290"/>
      <c r="AS25" s="288">
        <f t="shared" si="1"/>
        <v>0</v>
      </c>
      <c r="AT25" s="289"/>
      <c r="AU25" s="289"/>
      <c r="AV25" s="289"/>
      <c r="AW25" s="289"/>
      <c r="AX25" s="289"/>
      <c r="AY25" s="289"/>
      <c r="AZ25" s="289"/>
      <c r="BA25" s="289"/>
      <c r="BB25" s="291"/>
    </row>
    <row r="26" spans="2:54" ht="31.5" customHeight="1" x14ac:dyDescent="0.15">
      <c r="B26" s="93"/>
      <c r="C26" s="320" t="s">
        <v>94</v>
      </c>
      <c r="D26" s="321"/>
      <c r="E26" s="321"/>
      <c r="F26" s="321"/>
      <c r="G26" s="321"/>
      <c r="H26" s="321"/>
      <c r="I26" s="321"/>
      <c r="J26" s="321"/>
      <c r="K26" s="321"/>
      <c r="L26" s="321"/>
      <c r="M26" s="322"/>
      <c r="N26" s="94"/>
      <c r="O26" s="323"/>
      <c r="P26" s="324"/>
      <c r="Q26" s="324"/>
      <c r="R26" s="324"/>
      <c r="S26" s="324"/>
      <c r="T26" s="324"/>
      <c r="U26" s="324"/>
      <c r="V26" s="324"/>
      <c r="W26" s="324"/>
      <c r="X26" s="325"/>
      <c r="Y26" s="304"/>
      <c r="Z26" s="305"/>
      <c r="AA26" s="305"/>
      <c r="AB26" s="305"/>
      <c r="AC26" s="305"/>
      <c r="AD26" s="306"/>
      <c r="AE26" s="326">
        <f>1*1</f>
        <v>1</v>
      </c>
      <c r="AF26" s="327"/>
      <c r="AG26" s="327"/>
      <c r="AH26" s="328"/>
      <c r="AI26" s="288">
        <f t="shared" si="0"/>
        <v>0</v>
      </c>
      <c r="AJ26" s="289"/>
      <c r="AK26" s="289"/>
      <c r="AL26" s="289"/>
      <c r="AM26" s="289"/>
      <c r="AN26" s="289"/>
      <c r="AO26" s="289"/>
      <c r="AP26" s="289"/>
      <c r="AQ26" s="289"/>
      <c r="AR26" s="290"/>
      <c r="AS26" s="288">
        <f t="shared" si="1"/>
        <v>0</v>
      </c>
      <c r="AT26" s="289"/>
      <c r="AU26" s="289"/>
      <c r="AV26" s="289"/>
      <c r="AW26" s="289"/>
      <c r="AX26" s="289"/>
      <c r="AY26" s="289"/>
      <c r="AZ26" s="289"/>
      <c r="BA26" s="289"/>
      <c r="BB26" s="291"/>
    </row>
    <row r="27" spans="2:54" ht="31.5" customHeight="1" x14ac:dyDescent="0.15">
      <c r="B27" s="93"/>
      <c r="C27" s="298" t="s">
        <v>104</v>
      </c>
      <c r="D27" s="299"/>
      <c r="E27" s="299"/>
      <c r="F27" s="299"/>
      <c r="G27" s="299"/>
      <c r="H27" s="299"/>
      <c r="I27" s="299"/>
      <c r="J27" s="299"/>
      <c r="K27" s="299"/>
      <c r="L27" s="299"/>
      <c r="M27" s="300"/>
      <c r="N27" s="94"/>
      <c r="O27" s="323"/>
      <c r="P27" s="324"/>
      <c r="Q27" s="324"/>
      <c r="R27" s="324"/>
      <c r="S27" s="324"/>
      <c r="T27" s="324"/>
      <c r="U27" s="324"/>
      <c r="V27" s="324"/>
      <c r="W27" s="324"/>
      <c r="X27" s="325"/>
      <c r="Y27" s="304"/>
      <c r="Z27" s="305"/>
      <c r="AA27" s="305"/>
      <c r="AB27" s="305"/>
      <c r="AC27" s="305"/>
      <c r="AD27" s="306"/>
      <c r="AE27" s="326">
        <f>1*1.26</f>
        <v>1.26</v>
      </c>
      <c r="AF27" s="327"/>
      <c r="AG27" s="327"/>
      <c r="AH27" s="328"/>
      <c r="AI27" s="288">
        <f t="shared" si="0"/>
        <v>0</v>
      </c>
      <c r="AJ27" s="289"/>
      <c r="AK27" s="289"/>
      <c r="AL27" s="289"/>
      <c r="AM27" s="289"/>
      <c r="AN27" s="289"/>
      <c r="AO27" s="289"/>
      <c r="AP27" s="289"/>
      <c r="AQ27" s="289"/>
      <c r="AR27" s="290"/>
      <c r="AS27" s="288">
        <f t="shared" si="1"/>
        <v>0</v>
      </c>
      <c r="AT27" s="289"/>
      <c r="AU27" s="289"/>
      <c r="AV27" s="289"/>
      <c r="AW27" s="289"/>
      <c r="AX27" s="289"/>
      <c r="AY27" s="289"/>
      <c r="AZ27" s="289"/>
      <c r="BA27" s="289"/>
      <c r="BB27" s="291"/>
    </row>
    <row r="28" spans="2:54" ht="43.5" customHeight="1" thickBot="1" x14ac:dyDescent="0.2">
      <c r="B28" s="95"/>
      <c r="C28" s="298" t="s">
        <v>95</v>
      </c>
      <c r="D28" s="299"/>
      <c r="E28" s="299"/>
      <c r="F28" s="299"/>
      <c r="G28" s="299"/>
      <c r="H28" s="299"/>
      <c r="I28" s="299"/>
      <c r="J28" s="299"/>
      <c r="K28" s="299"/>
      <c r="L28" s="299"/>
      <c r="M28" s="300"/>
      <c r="N28" s="5"/>
      <c r="O28" s="301"/>
      <c r="P28" s="302"/>
      <c r="Q28" s="302"/>
      <c r="R28" s="302"/>
      <c r="S28" s="302"/>
      <c r="T28" s="302"/>
      <c r="U28" s="302"/>
      <c r="V28" s="302"/>
      <c r="W28" s="302"/>
      <c r="X28" s="303"/>
      <c r="Y28" s="304"/>
      <c r="Z28" s="305"/>
      <c r="AA28" s="305"/>
      <c r="AB28" s="305"/>
      <c r="AC28" s="305"/>
      <c r="AD28" s="306"/>
      <c r="AE28" s="307">
        <f>1*1</f>
        <v>1</v>
      </c>
      <c r="AF28" s="308"/>
      <c r="AG28" s="308"/>
      <c r="AH28" s="309"/>
      <c r="AI28" s="288">
        <f t="shared" si="0"/>
        <v>0</v>
      </c>
      <c r="AJ28" s="289"/>
      <c r="AK28" s="289"/>
      <c r="AL28" s="289"/>
      <c r="AM28" s="289"/>
      <c r="AN28" s="289"/>
      <c r="AO28" s="289"/>
      <c r="AP28" s="289"/>
      <c r="AQ28" s="289"/>
      <c r="AR28" s="290"/>
      <c r="AS28" s="288">
        <f>O28+AI28</f>
        <v>0</v>
      </c>
      <c r="AT28" s="289"/>
      <c r="AU28" s="289"/>
      <c r="AV28" s="289"/>
      <c r="AW28" s="289"/>
      <c r="AX28" s="289"/>
      <c r="AY28" s="289"/>
      <c r="AZ28" s="289"/>
      <c r="BA28" s="289"/>
      <c r="BB28" s="291"/>
    </row>
    <row r="29" spans="2:54" ht="31.5" customHeight="1" thickTop="1" x14ac:dyDescent="0.15">
      <c r="B29" s="96"/>
      <c r="C29" s="292" t="s">
        <v>96</v>
      </c>
      <c r="D29" s="293"/>
      <c r="E29" s="293"/>
      <c r="F29" s="293"/>
      <c r="G29" s="293"/>
      <c r="H29" s="293"/>
      <c r="I29" s="293"/>
      <c r="J29" s="293"/>
      <c r="K29" s="293"/>
      <c r="L29" s="293"/>
      <c r="M29" s="294"/>
      <c r="N29" s="97"/>
      <c r="O29" s="310">
        <f>SUM(O11:X28)</f>
        <v>0</v>
      </c>
      <c r="P29" s="311"/>
      <c r="Q29" s="311"/>
      <c r="R29" s="311"/>
      <c r="S29" s="311"/>
      <c r="T29" s="311"/>
      <c r="U29" s="311"/>
      <c r="V29" s="311"/>
      <c r="W29" s="311"/>
      <c r="X29" s="312"/>
      <c r="Y29" s="313"/>
      <c r="Z29" s="314"/>
      <c r="AA29" s="314"/>
      <c r="AB29" s="314"/>
      <c r="AC29" s="314"/>
      <c r="AD29" s="315"/>
      <c r="AE29" s="316"/>
      <c r="AF29" s="317"/>
      <c r="AG29" s="317"/>
      <c r="AH29" s="318"/>
      <c r="AI29" s="295">
        <f>SUM(AI11:AR28)</f>
        <v>0</v>
      </c>
      <c r="AJ29" s="296"/>
      <c r="AK29" s="296"/>
      <c r="AL29" s="296"/>
      <c r="AM29" s="296"/>
      <c r="AN29" s="296"/>
      <c r="AO29" s="296"/>
      <c r="AP29" s="296"/>
      <c r="AQ29" s="296"/>
      <c r="AR29" s="319"/>
      <c r="AS29" s="295">
        <f>SUM(AS11:BB28)</f>
        <v>0</v>
      </c>
      <c r="AT29" s="296"/>
      <c r="AU29" s="296"/>
      <c r="AV29" s="296"/>
      <c r="AW29" s="296"/>
      <c r="AX29" s="296"/>
      <c r="AY29" s="296"/>
      <c r="AZ29" s="296"/>
      <c r="BA29" s="296"/>
      <c r="BB29" s="297"/>
    </row>
    <row r="30" spans="2:54" ht="6" customHeight="1" x14ac:dyDescent="0.15">
      <c r="C30" s="98"/>
      <c r="D30" s="98"/>
      <c r="E30" s="98"/>
      <c r="F30" s="98"/>
      <c r="G30" s="98"/>
      <c r="H30" s="98"/>
      <c r="I30" s="98"/>
      <c r="J30" s="98"/>
      <c r="K30" s="98"/>
      <c r="L30" s="98"/>
      <c r="M30"/>
      <c r="N30"/>
      <c r="O30" s="99"/>
      <c r="P30"/>
      <c r="Q30"/>
      <c r="R30"/>
      <c r="S30"/>
      <c r="T30"/>
      <c r="U30"/>
      <c r="V30"/>
      <c r="W30"/>
      <c r="X30"/>
      <c r="AE30" s="4"/>
      <c r="AF30" s="32"/>
      <c r="AG30" s="32"/>
      <c r="AH30" s="32"/>
      <c r="AI30" s="99"/>
      <c r="AJ30" s="100"/>
      <c r="AK30" s="100"/>
      <c r="AL30" s="100"/>
      <c r="AM30" s="100"/>
      <c r="AN30" s="100"/>
      <c r="AO30" s="100"/>
      <c r="AP30" s="100"/>
      <c r="AQ30" s="100"/>
      <c r="AR30" s="100"/>
      <c r="AS30" s="99"/>
      <c r="AT30" s="100"/>
      <c r="AU30" s="100"/>
      <c r="AV30" s="100"/>
      <c r="AW30" s="100"/>
      <c r="AX30" s="100"/>
      <c r="AY30" s="100"/>
      <c r="AZ30" s="100"/>
      <c r="BA30" s="100"/>
      <c r="BB30" s="100"/>
    </row>
    <row r="31" spans="2:54" ht="13.5" customHeight="1" x14ac:dyDescent="0.15">
      <c r="B31" s="284" t="s">
        <v>97</v>
      </c>
      <c r="C31" s="284"/>
      <c r="D31" s="284"/>
      <c r="E31" s="285" t="s">
        <v>105</v>
      </c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</row>
    <row r="32" spans="2:54" ht="13.5" customHeight="1" x14ac:dyDescent="0.15">
      <c r="B32" s="101"/>
      <c r="E32" s="285" t="s">
        <v>98</v>
      </c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5"/>
      <c r="BB32" s="285"/>
    </row>
    <row r="34" spans="2:74" ht="13.5" customHeight="1" x14ac:dyDescent="0.15">
      <c r="X34" s="286" t="s">
        <v>54</v>
      </c>
      <c r="Y34" s="286"/>
      <c r="Z34" s="286"/>
      <c r="AA34" s="286"/>
      <c r="AB34" s="286"/>
      <c r="AC34" s="286"/>
      <c r="AD34" s="286"/>
      <c r="AE34" s="286"/>
      <c r="AF34" s="286"/>
      <c r="AG34" s="286"/>
      <c r="AH34" s="286"/>
      <c r="AI34" s="286"/>
      <c r="AJ34" s="286"/>
      <c r="AK34" s="286"/>
      <c r="AL34" s="286"/>
      <c r="AM34" s="2"/>
      <c r="AN34" s="287" t="str">
        <f>納入・納付申告書!$AV$12</f>
        <v>有限会社　オー・エス収集センター</v>
      </c>
      <c r="AO34" s="287"/>
      <c r="AP34" s="287"/>
      <c r="AQ34" s="287"/>
      <c r="AR34" s="287"/>
      <c r="AS34" s="287"/>
      <c r="AT34" s="287"/>
      <c r="AU34" s="287"/>
      <c r="AV34" s="287"/>
      <c r="AW34" s="287"/>
      <c r="AX34" s="287"/>
      <c r="AY34" s="287"/>
      <c r="AZ34" s="287"/>
      <c r="BA34" s="287"/>
      <c r="BB34" s="287"/>
    </row>
    <row r="35" spans="2:74" ht="6.75" customHeight="1" x14ac:dyDescent="0.15"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</row>
    <row r="36" spans="2:74" ht="40.5" customHeight="1" x14ac:dyDescent="0.2">
      <c r="B36" s="360" t="s">
        <v>70</v>
      </c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  <c r="AQ36" s="361"/>
      <c r="AR36" s="361"/>
      <c r="AS36" s="361"/>
      <c r="AT36" s="361"/>
      <c r="AU36" s="361"/>
      <c r="AV36" s="361"/>
      <c r="AW36" s="361"/>
      <c r="AX36" s="361"/>
      <c r="AY36" s="361"/>
      <c r="AZ36" s="361"/>
      <c r="BA36" s="361"/>
      <c r="BB36" s="362"/>
    </row>
    <row r="37" spans="2:74" ht="15" customHeight="1" x14ac:dyDescent="0.15">
      <c r="B37" s="363" t="s">
        <v>9</v>
      </c>
      <c r="C37" s="364"/>
      <c r="D37" s="364"/>
      <c r="E37" s="364"/>
      <c r="F37" s="364"/>
      <c r="G37" s="364"/>
      <c r="H37" s="364"/>
      <c r="I37" s="364"/>
      <c r="J37" s="364"/>
      <c r="K37" s="366" t="str">
        <f>納入・納付申告書!CB44&amp;"分"</f>
        <v>令和7年5月分</v>
      </c>
      <c r="L37" s="367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  <c r="AA37" s="367"/>
      <c r="AB37" s="367"/>
      <c r="AC37" s="367"/>
      <c r="AD37" s="368"/>
      <c r="AE37" s="372" t="s">
        <v>71</v>
      </c>
      <c r="AF37" s="372"/>
      <c r="AG37" s="372"/>
      <c r="AH37" s="372"/>
      <c r="AI37" s="372"/>
      <c r="AJ37" s="372"/>
      <c r="AK37" s="372"/>
      <c r="AL37" s="372"/>
      <c r="AM37" s="364" t="s">
        <v>72</v>
      </c>
      <c r="AN37" s="364"/>
      <c r="AO37" s="364"/>
      <c r="AP37" s="364"/>
      <c r="AQ37" s="364"/>
      <c r="AR37" s="364"/>
      <c r="AS37" s="364"/>
      <c r="AT37" s="364"/>
      <c r="AU37" s="364"/>
      <c r="AV37" s="364"/>
      <c r="AW37" s="364"/>
      <c r="AX37" s="364"/>
      <c r="AY37" s="364"/>
      <c r="AZ37" s="364"/>
      <c r="BA37" s="364"/>
      <c r="BB37" s="374"/>
      <c r="BV37" s="1" t="s">
        <v>68</v>
      </c>
    </row>
    <row r="38" spans="2:74" ht="15" customHeight="1" x14ac:dyDescent="0.15">
      <c r="B38" s="365"/>
      <c r="C38" s="359"/>
      <c r="D38" s="359"/>
      <c r="E38" s="359"/>
      <c r="F38" s="359"/>
      <c r="G38" s="359"/>
      <c r="H38" s="359"/>
      <c r="I38" s="359"/>
      <c r="J38" s="359"/>
      <c r="K38" s="369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1"/>
      <c r="AE38" s="373"/>
      <c r="AF38" s="373"/>
      <c r="AG38" s="373"/>
      <c r="AH38" s="373"/>
      <c r="AI38" s="373"/>
      <c r="AJ38" s="373"/>
      <c r="AK38" s="373"/>
      <c r="AL38" s="373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75"/>
    </row>
    <row r="39" spans="2:74" ht="13.5" customHeight="1" x14ac:dyDescent="0.15">
      <c r="B39" s="335" t="s">
        <v>73</v>
      </c>
      <c r="C39" s="336"/>
      <c r="D39" s="336"/>
      <c r="E39" s="336"/>
      <c r="F39" s="336"/>
      <c r="G39" s="336"/>
      <c r="H39" s="336"/>
      <c r="I39" s="336"/>
      <c r="J39" s="336"/>
      <c r="K39" s="336"/>
      <c r="L39" s="336"/>
      <c r="M39" s="337"/>
      <c r="N39" s="5"/>
      <c r="O39" s="339" t="s">
        <v>74</v>
      </c>
      <c r="P39" s="340"/>
      <c r="Q39" s="340"/>
      <c r="R39" s="340"/>
      <c r="S39" s="340"/>
      <c r="T39" s="340"/>
      <c r="U39" s="340"/>
      <c r="V39" s="340"/>
      <c r="W39" s="340"/>
      <c r="X39" s="341"/>
      <c r="Y39" s="332" t="s">
        <v>75</v>
      </c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333"/>
      <c r="AR39" s="334"/>
      <c r="AS39" s="339" t="s">
        <v>76</v>
      </c>
      <c r="AT39" s="345"/>
      <c r="AU39" s="345"/>
      <c r="AV39" s="345"/>
      <c r="AW39" s="345"/>
      <c r="AX39" s="345"/>
      <c r="AY39" s="345"/>
      <c r="AZ39" s="345"/>
      <c r="BA39" s="345"/>
      <c r="BB39" s="346"/>
    </row>
    <row r="40" spans="2:74" x14ac:dyDescent="0.15">
      <c r="B40" s="338"/>
      <c r="C40" s="336"/>
      <c r="D40" s="336"/>
      <c r="E40" s="336"/>
      <c r="F40" s="336"/>
      <c r="G40" s="336"/>
      <c r="H40" s="336"/>
      <c r="I40" s="336"/>
      <c r="J40" s="336"/>
      <c r="K40" s="336"/>
      <c r="L40" s="336"/>
      <c r="M40" s="337"/>
      <c r="N40"/>
      <c r="O40" s="342"/>
      <c r="P40" s="343"/>
      <c r="Q40" s="343"/>
      <c r="R40" s="343"/>
      <c r="S40" s="343"/>
      <c r="T40" s="343"/>
      <c r="U40" s="343"/>
      <c r="V40" s="343"/>
      <c r="W40" s="343"/>
      <c r="X40" s="344"/>
      <c r="Y40" s="354" t="s">
        <v>77</v>
      </c>
      <c r="Z40" s="340"/>
      <c r="AA40" s="340"/>
      <c r="AB40" s="340"/>
      <c r="AC40" s="340"/>
      <c r="AD40" s="341"/>
      <c r="AE40" s="354" t="s">
        <v>78</v>
      </c>
      <c r="AF40" s="355"/>
      <c r="AG40" s="356"/>
      <c r="AH40" s="357"/>
      <c r="AI40" s="354" t="s">
        <v>79</v>
      </c>
      <c r="AJ40" s="355"/>
      <c r="AK40" s="356"/>
      <c r="AL40" s="356"/>
      <c r="AM40" s="356"/>
      <c r="AN40" s="356"/>
      <c r="AO40" s="356"/>
      <c r="AP40" s="356"/>
      <c r="AQ40" s="356"/>
      <c r="AR40" s="357"/>
      <c r="AS40" s="347"/>
      <c r="AT40" s="284"/>
      <c r="AU40" s="284"/>
      <c r="AV40" s="284"/>
      <c r="AW40" s="284"/>
      <c r="AX40" s="284"/>
      <c r="AY40" s="284"/>
      <c r="AZ40" s="284"/>
      <c r="BA40" s="284"/>
      <c r="BB40" s="348"/>
    </row>
    <row r="41" spans="2:74" ht="13.5" customHeight="1" x14ac:dyDescent="0.15">
      <c r="B41" s="338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7"/>
      <c r="N41"/>
      <c r="O41" s="349" t="s">
        <v>64</v>
      </c>
      <c r="P41" s="350"/>
      <c r="Q41" s="350"/>
      <c r="R41" s="350"/>
      <c r="S41" s="350"/>
      <c r="T41" s="350"/>
      <c r="U41" s="350"/>
      <c r="V41" s="350"/>
      <c r="W41" s="350"/>
      <c r="X41" s="358"/>
      <c r="Y41" s="349" t="s">
        <v>99</v>
      </c>
      <c r="Z41" s="350"/>
      <c r="AA41" s="350"/>
      <c r="AB41" s="350"/>
      <c r="AC41" s="350"/>
      <c r="AD41" s="358"/>
      <c r="AE41" s="349" t="s">
        <v>100</v>
      </c>
      <c r="AF41" s="359"/>
      <c r="AG41" s="350"/>
      <c r="AH41" s="358"/>
      <c r="AI41" s="349" t="s">
        <v>101</v>
      </c>
      <c r="AJ41" s="359"/>
      <c r="AK41" s="350"/>
      <c r="AL41" s="350"/>
      <c r="AM41" s="350"/>
      <c r="AN41" s="350"/>
      <c r="AO41" s="350"/>
      <c r="AP41" s="350"/>
      <c r="AQ41" s="350"/>
      <c r="AR41" s="358"/>
      <c r="AS41" s="349" t="s">
        <v>102</v>
      </c>
      <c r="AT41" s="350"/>
      <c r="AU41" s="350"/>
      <c r="AV41" s="350"/>
      <c r="AW41" s="350"/>
      <c r="AX41" s="350"/>
      <c r="AY41" s="350"/>
      <c r="AZ41" s="350"/>
      <c r="BA41" s="350"/>
      <c r="BB41" s="351"/>
    </row>
    <row r="42" spans="2:74" ht="31.5" customHeight="1" x14ac:dyDescent="0.15">
      <c r="B42" s="93"/>
      <c r="C42" s="320" t="s">
        <v>80</v>
      </c>
      <c r="D42" s="321"/>
      <c r="E42" s="321"/>
      <c r="F42" s="321"/>
      <c r="G42" s="321"/>
      <c r="H42" s="321"/>
      <c r="I42" s="321"/>
      <c r="J42" s="321"/>
      <c r="K42" s="321"/>
      <c r="L42" s="321"/>
      <c r="M42" s="322"/>
      <c r="N42" s="94"/>
      <c r="O42" s="323"/>
      <c r="P42" s="352"/>
      <c r="Q42" s="352"/>
      <c r="R42" s="352"/>
      <c r="S42" s="352"/>
      <c r="T42" s="352"/>
      <c r="U42" s="352"/>
      <c r="V42" s="352"/>
      <c r="W42" s="352"/>
      <c r="X42" s="353"/>
      <c r="Y42" s="304"/>
      <c r="Z42" s="305"/>
      <c r="AA42" s="305"/>
      <c r="AB42" s="305"/>
      <c r="AC42" s="305"/>
      <c r="AD42" s="306"/>
      <c r="AE42" s="326">
        <f>1.14*1</f>
        <v>1.1399999999999999</v>
      </c>
      <c r="AF42" s="327"/>
      <c r="AG42" s="327"/>
      <c r="AH42" s="328"/>
      <c r="AI42" s="288">
        <f>ROUNDDOWN(ROUNDDOWN(Y42,3)*AE42,5)</f>
        <v>0</v>
      </c>
      <c r="AJ42" s="289"/>
      <c r="AK42" s="289"/>
      <c r="AL42" s="289"/>
      <c r="AM42" s="289"/>
      <c r="AN42" s="289"/>
      <c r="AO42" s="289"/>
      <c r="AP42" s="289"/>
      <c r="AQ42" s="289"/>
      <c r="AR42" s="290"/>
      <c r="AS42" s="288">
        <f>O42+AI42</f>
        <v>0</v>
      </c>
      <c r="AT42" s="289"/>
      <c r="AU42" s="289"/>
      <c r="AV42" s="289"/>
      <c r="AW42" s="289"/>
      <c r="AX42" s="289"/>
      <c r="AY42" s="289"/>
      <c r="AZ42" s="289"/>
      <c r="BA42" s="289"/>
      <c r="BB42" s="291"/>
    </row>
    <row r="43" spans="2:74" ht="31.5" customHeight="1" x14ac:dyDescent="0.15">
      <c r="B43" s="93"/>
      <c r="C43" s="320" t="s">
        <v>81</v>
      </c>
      <c r="D43" s="321"/>
      <c r="E43" s="321"/>
      <c r="F43" s="321"/>
      <c r="G43" s="321"/>
      <c r="H43" s="321"/>
      <c r="I43" s="321"/>
      <c r="J43" s="321"/>
      <c r="K43" s="321"/>
      <c r="L43" s="321"/>
      <c r="M43" s="322"/>
      <c r="N43" s="94"/>
      <c r="O43" s="323"/>
      <c r="P43" s="324"/>
      <c r="Q43" s="324"/>
      <c r="R43" s="324"/>
      <c r="S43" s="324"/>
      <c r="T43" s="324"/>
      <c r="U43" s="324"/>
      <c r="V43" s="324"/>
      <c r="W43" s="324"/>
      <c r="X43" s="325"/>
      <c r="Y43" s="304"/>
      <c r="Z43" s="305"/>
      <c r="AA43" s="305"/>
      <c r="AB43" s="305"/>
      <c r="AC43" s="305"/>
      <c r="AD43" s="306"/>
      <c r="AE43" s="326">
        <f>1.1*1</f>
        <v>1.1000000000000001</v>
      </c>
      <c r="AF43" s="327"/>
      <c r="AG43" s="327"/>
      <c r="AH43" s="328"/>
      <c r="AI43" s="288">
        <f t="shared" ref="AI43:AI59" si="2">ROUNDDOWN(ROUNDDOWN(Y43,3)*AE43,5)</f>
        <v>0</v>
      </c>
      <c r="AJ43" s="289"/>
      <c r="AK43" s="289"/>
      <c r="AL43" s="289"/>
      <c r="AM43" s="289"/>
      <c r="AN43" s="289"/>
      <c r="AO43" s="289"/>
      <c r="AP43" s="289"/>
      <c r="AQ43" s="289"/>
      <c r="AR43" s="290"/>
      <c r="AS43" s="288">
        <f t="shared" ref="AS43:AS58" si="3">O43+AI43</f>
        <v>0</v>
      </c>
      <c r="AT43" s="289"/>
      <c r="AU43" s="289"/>
      <c r="AV43" s="289"/>
      <c r="AW43" s="289"/>
      <c r="AX43" s="289"/>
      <c r="AY43" s="289"/>
      <c r="AZ43" s="289"/>
      <c r="BA43" s="289"/>
      <c r="BB43" s="291"/>
    </row>
    <row r="44" spans="2:74" ht="31.5" customHeight="1" x14ac:dyDescent="0.15">
      <c r="B44" s="93"/>
      <c r="C44" s="320" t="s">
        <v>82</v>
      </c>
      <c r="D44" s="321"/>
      <c r="E44" s="321"/>
      <c r="F44" s="321"/>
      <c r="G44" s="321"/>
      <c r="H44" s="321"/>
      <c r="I44" s="321"/>
      <c r="J44" s="321"/>
      <c r="K44" s="321"/>
      <c r="L44" s="321"/>
      <c r="M44" s="322"/>
      <c r="N44" s="94"/>
      <c r="O44" s="323"/>
      <c r="P44" s="324"/>
      <c r="Q44" s="324"/>
      <c r="R44" s="324"/>
      <c r="S44" s="324"/>
      <c r="T44" s="324"/>
      <c r="U44" s="324"/>
      <c r="V44" s="324"/>
      <c r="W44" s="324"/>
      <c r="X44" s="325"/>
      <c r="Y44" s="304"/>
      <c r="Z44" s="305"/>
      <c r="AA44" s="305"/>
      <c r="AB44" s="305"/>
      <c r="AC44" s="305"/>
      <c r="AD44" s="306"/>
      <c r="AE44" s="326">
        <f>0.9*1</f>
        <v>0.9</v>
      </c>
      <c r="AF44" s="327"/>
      <c r="AG44" s="327"/>
      <c r="AH44" s="328"/>
      <c r="AI44" s="288">
        <f t="shared" si="2"/>
        <v>0</v>
      </c>
      <c r="AJ44" s="289"/>
      <c r="AK44" s="289"/>
      <c r="AL44" s="289"/>
      <c r="AM44" s="289"/>
      <c r="AN44" s="289"/>
      <c r="AO44" s="289"/>
      <c r="AP44" s="289"/>
      <c r="AQ44" s="289"/>
      <c r="AR44" s="290"/>
      <c r="AS44" s="288">
        <f t="shared" si="3"/>
        <v>0</v>
      </c>
      <c r="AT44" s="289"/>
      <c r="AU44" s="289"/>
      <c r="AV44" s="289"/>
      <c r="AW44" s="289"/>
      <c r="AX44" s="289"/>
      <c r="AY44" s="289"/>
      <c r="AZ44" s="289"/>
      <c r="BA44" s="289"/>
      <c r="BB44" s="291"/>
    </row>
    <row r="45" spans="2:74" ht="31.5" customHeight="1" x14ac:dyDescent="0.15">
      <c r="B45" s="93"/>
      <c r="C45" s="320" t="s">
        <v>83</v>
      </c>
      <c r="D45" s="321"/>
      <c r="E45" s="321"/>
      <c r="F45" s="321"/>
      <c r="G45" s="321"/>
      <c r="H45" s="321"/>
      <c r="I45" s="321"/>
      <c r="J45" s="321"/>
      <c r="K45" s="321"/>
      <c r="L45" s="321"/>
      <c r="M45" s="322"/>
      <c r="N45" s="94"/>
      <c r="O45" s="323"/>
      <c r="P45" s="324"/>
      <c r="Q45" s="324"/>
      <c r="R45" s="324"/>
      <c r="S45" s="324"/>
      <c r="T45" s="324"/>
      <c r="U45" s="324"/>
      <c r="V45" s="324"/>
      <c r="W45" s="324"/>
      <c r="X45" s="325"/>
      <c r="Y45" s="304"/>
      <c r="Z45" s="305"/>
      <c r="AA45" s="305"/>
      <c r="AB45" s="305"/>
      <c r="AC45" s="305"/>
      <c r="AD45" s="306"/>
      <c r="AE45" s="326">
        <f>0.35*1</f>
        <v>0.35</v>
      </c>
      <c r="AF45" s="327"/>
      <c r="AG45" s="327"/>
      <c r="AH45" s="328"/>
      <c r="AI45" s="288">
        <f t="shared" si="2"/>
        <v>0</v>
      </c>
      <c r="AJ45" s="289"/>
      <c r="AK45" s="289"/>
      <c r="AL45" s="289"/>
      <c r="AM45" s="289"/>
      <c r="AN45" s="289"/>
      <c r="AO45" s="289"/>
      <c r="AP45" s="289"/>
      <c r="AQ45" s="289"/>
      <c r="AR45" s="290"/>
      <c r="AS45" s="288">
        <f t="shared" si="3"/>
        <v>0</v>
      </c>
      <c r="AT45" s="289"/>
      <c r="AU45" s="289"/>
      <c r="AV45" s="289"/>
      <c r="AW45" s="289"/>
      <c r="AX45" s="289"/>
      <c r="AY45" s="289"/>
      <c r="AZ45" s="289"/>
      <c r="BA45" s="289"/>
      <c r="BB45" s="291"/>
    </row>
    <row r="46" spans="2:74" ht="31.5" customHeight="1" x14ac:dyDescent="0.15">
      <c r="B46" s="93"/>
      <c r="C46" s="320" t="s">
        <v>84</v>
      </c>
      <c r="D46" s="321"/>
      <c r="E46" s="321"/>
      <c r="F46" s="321"/>
      <c r="G46" s="321"/>
      <c r="H46" s="321"/>
      <c r="I46" s="321"/>
      <c r="J46" s="321"/>
      <c r="K46" s="321"/>
      <c r="L46" s="321"/>
      <c r="M46" s="322"/>
      <c r="N46" s="94"/>
      <c r="O46" s="323"/>
      <c r="P46" s="324"/>
      <c r="Q46" s="324"/>
      <c r="R46" s="324"/>
      <c r="S46" s="324"/>
      <c r="T46" s="324"/>
      <c r="U46" s="324"/>
      <c r="V46" s="324"/>
      <c r="W46" s="324"/>
      <c r="X46" s="325"/>
      <c r="Y46" s="304"/>
      <c r="Z46" s="305"/>
      <c r="AA46" s="305"/>
      <c r="AB46" s="305"/>
      <c r="AC46" s="305"/>
      <c r="AD46" s="306"/>
      <c r="AE46" s="326">
        <f>0.3*1</f>
        <v>0.3</v>
      </c>
      <c r="AF46" s="327"/>
      <c r="AG46" s="327"/>
      <c r="AH46" s="328"/>
      <c r="AI46" s="288">
        <f t="shared" si="2"/>
        <v>0</v>
      </c>
      <c r="AJ46" s="289"/>
      <c r="AK46" s="289"/>
      <c r="AL46" s="289"/>
      <c r="AM46" s="289"/>
      <c r="AN46" s="289"/>
      <c r="AO46" s="289"/>
      <c r="AP46" s="289"/>
      <c r="AQ46" s="289"/>
      <c r="AR46" s="290"/>
      <c r="AS46" s="288">
        <f t="shared" si="3"/>
        <v>0</v>
      </c>
      <c r="AT46" s="289"/>
      <c r="AU46" s="289"/>
      <c r="AV46" s="289"/>
      <c r="AW46" s="289"/>
      <c r="AX46" s="289"/>
      <c r="AY46" s="289"/>
      <c r="AZ46" s="289"/>
      <c r="BA46" s="289"/>
      <c r="BB46" s="291"/>
    </row>
    <row r="47" spans="2:74" ht="31.5" customHeight="1" x14ac:dyDescent="0.15">
      <c r="B47" s="93"/>
      <c r="C47" s="320" t="s">
        <v>85</v>
      </c>
      <c r="D47" s="321"/>
      <c r="E47" s="321"/>
      <c r="F47" s="321"/>
      <c r="G47" s="321"/>
      <c r="H47" s="321"/>
      <c r="I47" s="321"/>
      <c r="J47" s="321"/>
      <c r="K47" s="321"/>
      <c r="L47" s="321"/>
      <c r="M47" s="322"/>
      <c r="N47" s="94"/>
      <c r="O47" s="323"/>
      <c r="P47" s="324"/>
      <c r="Q47" s="324"/>
      <c r="R47" s="324"/>
      <c r="S47" s="324"/>
      <c r="T47" s="324"/>
      <c r="U47" s="324"/>
      <c r="V47" s="324"/>
      <c r="W47" s="324"/>
      <c r="X47" s="325"/>
      <c r="Y47" s="304"/>
      <c r="Z47" s="305"/>
      <c r="AA47" s="305"/>
      <c r="AB47" s="305"/>
      <c r="AC47" s="305"/>
      <c r="AD47" s="306"/>
      <c r="AE47" s="326">
        <f>0.55*1</f>
        <v>0.55000000000000004</v>
      </c>
      <c r="AF47" s="327"/>
      <c r="AG47" s="327"/>
      <c r="AH47" s="328"/>
      <c r="AI47" s="288">
        <f t="shared" si="2"/>
        <v>0</v>
      </c>
      <c r="AJ47" s="289"/>
      <c r="AK47" s="289"/>
      <c r="AL47" s="289"/>
      <c r="AM47" s="289"/>
      <c r="AN47" s="289"/>
      <c r="AO47" s="289"/>
      <c r="AP47" s="289"/>
      <c r="AQ47" s="289"/>
      <c r="AR47" s="290"/>
      <c r="AS47" s="288">
        <f t="shared" si="3"/>
        <v>0</v>
      </c>
      <c r="AT47" s="289"/>
      <c r="AU47" s="289"/>
      <c r="AV47" s="289"/>
      <c r="AW47" s="289"/>
      <c r="AX47" s="289"/>
      <c r="AY47" s="289"/>
      <c r="AZ47" s="289"/>
      <c r="BA47" s="289"/>
      <c r="BB47" s="291"/>
    </row>
    <row r="48" spans="2:74" ht="31.5" customHeight="1" x14ac:dyDescent="0.15">
      <c r="B48" s="93"/>
      <c r="C48" s="320" t="s">
        <v>86</v>
      </c>
      <c r="D48" s="321"/>
      <c r="E48" s="321"/>
      <c r="F48" s="321"/>
      <c r="G48" s="321"/>
      <c r="H48" s="321"/>
      <c r="I48" s="321"/>
      <c r="J48" s="321"/>
      <c r="K48" s="321"/>
      <c r="L48" s="321"/>
      <c r="M48" s="322"/>
      <c r="N48" s="94"/>
      <c r="O48" s="323"/>
      <c r="P48" s="324"/>
      <c r="Q48" s="324"/>
      <c r="R48" s="324"/>
      <c r="S48" s="324"/>
      <c r="T48" s="324"/>
      <c r="U48" s="324"/>
      <c r="V48" s="324"/>
      <c r="W48" s="324"/>
      <c r="X48" s="325"/>
      <c r="Y48" s="304"/>
      <c r="Z48" s="305"/>
      <c r="AA48" s="305"/>
      <c r="AB48" s="305"/>
      <c r="AC48" s="305"/>
      <c r="AD48" s="306"/>
      <c r="AE48" s="326">
        <f>0.12*1</f>
        <v>0.12</v>
      </c>
      <c r="AF48" s="327"/>
      <c r="AG48" s="327"/>
      <c r="AH48" s="328"/>
      <c r="AI48" s="288">
        <f t="shared" si="2"/>
        <v>0</v>
      </c>
      <c r="AJ48" s="289"/>
      <c r="AK48" s="289"/>
      <c r="AL48" s="289"/>
      <c r="AM48" s="289"/>
      <c r="AN48" s="289"/>
      <c r="AO48" s="289"/>
      <c r="AP48" s="289"/>
      <c r="AQ48" s="289"/>
      <c r="AR48" s="290"/>
      <c r="AS48" s="288">
        <f t="shared" si="3"/>
        <v>0</v>
      </c>
      <c r="AT48" s="289"/>
      <c r="AU48" s="289"/>
      <c r="AV48" s="289"/>
      <c r="AW48" s="289"/>
      <c r="AX48" s="289"/>
      <c r="AY48" s="289"/>
      <c r="AZ48" s="289"/>
      <c r="BA48" s="289"/>
      <c r="BB48" s="291"/>
    </row>
    <row r="49" spans="2:54" ht="31.5" customHeight="1" x14ac:dyDescent="0.15">
      <c r="B49" s="93"/>
      <c r="C49" s="330" t="s">
        <v>87</v>
      </c>
      <c r="D49" s="330"/>
      <c r="E49" s="330"/>
      <c r="F49" s="330"/>
      <c r="G49" s="330"/>
      <c r="H49" s="330"/>
      <c r="I49" s="330"/>
      <c r="J49" s="330"/>
      <c r="K49" s="330"/>
      <c r="L49" s="330"/>
      <c r="M49" s="331"/>
      <c r="N49" s="94"/>
      <c r="O49" s="323"/>
      <c r="P49" s="324"/>
      <c r="Q49" s="324"/>
      <c r="R49" s="324"/>
      <c r="S49" s="324"/>
      <c r="T49" s="324"/>
      <c r="U49" s="324"/>
      <c r="V49" s="324"/>
      <c r="W49" s="324"/>
      <c r="X49" s="325"/>
      <c r="Y49" s="304"/>
      <c r="Z49" s="305"/>
      <c r="AA49" s="305"/>
      <c r="AB49" s="305"/>
      <c r="AC49" s="305"/>
      <c r="AD49" s="306"/>
      <c r="AE49" s="326">
        <f>1*1</f>
        <v>1</v>
      </c>
      <c r="AF49" s="327"/>
      <c r="AG49" s="327"/>
      <c r="AH49" s="328"/>
      <c r="AI49" s="288">
        <f t="shared" si="2"/>
        <v>0</v>
      </c>
      <c r="AJ49" s="289"/>
      <c r="AK49" s="289"/>
      <c r="AL49" s="289"/>
      <c r="AM49" s="289"/>
      <c r="AN49" s="289"/>
      <c r="AO49" s="289"/>
      <c r="AP49" s="289"/>
      <c r="AQ49" s="289"/>
      <c r="AR49" s="290"/>
      <c r="AS49" s="288">
        <f t="shared" si="3"/>
        <v>0</v>
      </c>
      <c r="AT49" s="289"/>
      <c r="AU49" s="289"/>
      <c r="AV49" s="289"/>
      <c r="AW49" s="289"/>
      <c r="AX49" s="289"/>
      <c r="AY49" s="289"/>
      <c r="AZ49" s="289"/>
      <c r="BA49" s="289"/>
      <c r="BB49" s="291"/>
    </row>
    <row r="50" spans="2:54" ht="31.5" customHeight="1" x14ac:dyDescent="0.15">
      <c r="B50" s="93"/>
      <c r="C50" s="298" t="s">
        <v>88</v>
      </c>
      <c r="D50" s="299"/>
      <c r="E50" s="299"/>
      <c r="F50" s="299"/>
      <c r="G50" s="299"/>
      <c r="H50" s="299"/>
      <c r="I50" s="299"/>
      <c r="J50" s="299"/>
      <c r="K50" s="299"/>
      <c r="L50" s="299"/>
      <c r="M50" s="300"/>
      <c r="N50" s="94"/>
      <c r="O50" s="323"/>
      <c r="P50" s="324"/>
      <c r="Q50" s="324"/>
      <c r="R50" s="324"/>
      <c r="S50" s="324"/>
      <c r="T50" s="324"/>
      <c r="U50" s="324"/>
      <c r="V50" s="324"/>
      <c r="W50" s="324"/>
      <c r="X50" s="325"/>
      <c r="Y50" s="304"/>
      <c r="Z50" s="305"/>
      <c r="AA50" s="305"/>
      <c r="AB50" s="305"/>
      <c r="AC50" s="305"/>
      <c r="AD50" s="306"/>
      <c r="AE50" s="326">
        <f>1*1</f>
        <v>1</v>
      </c>
      <c r="AF50" s="327"/>
      <c r="AG50" s="327"/>
      <c r="AH50" s="328"/>
      <c r="AI50" s="288">
        <f t="shared" si="2"/>
        <v>0</v>
      </c>
      <c r="AJ50" s="289"/>
      <c r="AK50" s="289"/>
      <c r="AL50" s="289"/>
      <c r="AM50" s="289"/>
      <c r="AN50" s="289"/>
      <c r="AO50" s="289"/>
      <c r="AP50" s="289"/>
      <c r="AQ50" s="289"/>
      <c r="AR50" s="290"/>
      <c r="AS50" s="288">
        <f t="shared" si="3"/>
        <v>0</v>
      </c>
      <c r="AT50" s="289"/>
      <c r="AU50" s="289"/>
      <c r="AV50" s="289"/>
      <c r="AW50" s="289"/>
      <c r="AX50" s="289"/>
      <c r="AY50" s="289"/>
      <c r="AZ50" s="289"/>
      <c r="BA50" s="289"/>
      <c r="BB50" s="291"/>
    </row>
    <row r="51" spans="2:54" ht="31.5" customHeight="1" x14ac:dyDescent="0.15">
      <c r="B51" s="93"/>
      <c r="C51" s="320" t="s">
        <v>103</v>
      </c>
      <c r="D51" s="321"/>
      <c r="E51" s="321"/>
      <c r="F51" s="321"/>
      <c r="G51" s="321"/>
      <c r="H51" s="321"/>
      <c r="I51" s="321"/>
      <c r="J51" s="321"/>
      <c r="K51" s="321"/>
      <c r="L51" s="321"/>
      <c r="M51" s="322"/>
      <c r="N51" s="94"/>
      <c r="O51" s="323"/>
      <c r="P51" s="324"/>
      <c r="Q51" s="324"/>
      <c r="R51" s="324"/>
      <c r="S51" s="324"/>
      <c r="T51" s="324"/>
      <c r="U51" s="324"/>
      <c r="V51" s="324"/>
      <c r="W51" s="324"/>
      <c r="X51" s="325"/>
      <c r="Y51" s="304"/>
      <c r="Z51" s="305"/>
      <c r="AA51" s="305"/>
      <c r="AB51" s="305"/>
      <c r="AC51" s="305"/>
      <c r="AD51" s="306"/>
      <c r="AE51" s="326">
        <f>1*0.52</f>
        <v>0.52</v>
      </c>
      <c r="AF51" s="327"/>
      <c r="AG51" s="327"/>
      <c r="AH51" s="328"/>
      <c r="AI51" s="288">
        <f t="shared" si="2"/>
        <v>0</v>
      </c>
      <c r="AJ51" s="289"/>
      <c r="AK51" s="289"/>
      <c r="AL51" s="289"/>
      <c r="AM51" s="289"/>
      <c r="AN51" s="289"/>
      <c r="AO51" s="289"/>
      <c r="AP51" s="289"/>
      <c r="AQ51" s="289"/>
      <c r="AR51" s="290"/>
      <c r="AS51" s="288">
        <f t="shared" si="3"/>
        <v>0</v>
      </c>
      <c r="AT51" s="289"/>
      <c r="AU51" s="289"/>
      <c r="AV51" s="289"/>
      <c r="AW51" s="289"/>
      <c r="AX51" s="289"/>
      <c r="AY51" s="289"/>
      <c r="AZ51" s="289"/>
      <c r="BA51" s="289"/>
      <c r="BB51" s="291"/>
    </row>
    <row r="52" spans="2:54" ht="31.5" customHeight="1" x14ac:dyDescent="0.15">
      <c r="B52" s="93"/>
      <c r="C52" s="320" t="s">
        <v>89</v>
      </c>
      <c r="D52" s="321"/>
      <c r="E52" s="321"/>
      <c r="F52" s="321"/>
      <c r="G52" s="321"/>
      <c r="H52" s="321"/>
      <c r="I52" s="321"/>
      <c r="J52" s="321"/>
      <c r="K52" s="321"/>
      <c r="L52" s="321"/>
      <c r="M52" s="322"/>
      <c r="N52" s="94"/>
      <c r="O52" s="323"/>
      <c r="P52" s="324"/>
      <c r="Q52" s="324"/>
      <c r="R52" s="324"/>
      <c r="S52" s="324"/>
      <c r="T52" s="324"/>
      <c r="U52" s="324"/>
      <c r="V52" s="324"/>
      <c r="W52" s="324"/>
      <c r="X52" s="325"/>
      <c r="Y52" s="304"/>
      <c r="Z52" s="305"/>
      <c r="AA52" s="305"/>
      <c r="AB52" s="305"/>
      <c r="AC52" s="305"/>
      <c r="AD52" s="306"/>
      <c r="AE52" s="326">
        <f>1*1.13</f>
        <v>1.1299999999999999</v>
      </c>
      <c r="AF52" s="327"/>
      <c r="AG52" s="327"/>
      <c r="AH52" s="328"/>
      <c r="AI52" s="288">
        <f t="shared" si="2"/>
        <v>0</v>
      </c>
      <c r="AJ52" s="289"/>
      <c r="AK52" s="289"/>
      <c r="AL52" s="289"/>
      <c r="AM52" s="289"/>
      <c r="AN52" s="289"/>
      <c r="AO52" s="289"/>
      <c r="AP52" s="289"/>
      <c r="AQ52" s="289"/>
      <c r="AR52" s="290"/>
      <c r="AS52" s="288">
        <f t="shared" si="3"/>
        <v>0</v>
      </c>
      <c r="AT52" s="289"/>
      <c r="AU52" s="289"/>
      <c r="AV52" s="289"/>
      <c r="AW52" s="289"/>
      <c r="AX52" s="289"/>
      <c r="AY52" s="289"/>
      <c r="AZ52" s="289"/>
      <c r="BA52" s="289"/>
      <c r="BB52" s="291"/>
    </row>
    <row r="53" spans="2:54" ht="31.5" customHeight="1" x14ac:dyDescent="0.15">
      <c r="B53" s="93"/>
      <c r="C53" s="320" t="s">
        <v>90</v>
      </c>
      <c r="D53" s="321"/>
      <c r="E53" s="321"/>
      <c r="F53" s="321"/>
      <c r="G53" s="321"/>
      <c r="H53" s="321"/>
      <c r="I53" s="321"/>
      <c r="J53" s="321"/>
      <c r="K53" s="321"/>
      <c r="L53" s="321"/>
      <c r="M53" s="329"/>
      <c r="N53" s="94"/>
      <c r="O53" s="323"/>
      <c r="P53" s="324"/>
      <c r="Q53" s="324"/>
      <c r="R53" s="324"/>
      <c r="S53" s="324"/>
      <c r="T53" s="324"/>
      <c r="U53" s="324"/>
      <c r="V53" s="324"/>
      <c r="W53" s="324"/>
      <c r="X53" s="325"/>
      <c r="Y53" s="304"/>
      <c r="Z53" s="305"/>
      <c r="AA53" s="305"/>
      <c r="AB53" s="305"/>
      <c r="AC53" s="305"/>
      <c r="AD53" s="306"/>
      <c r="AE53" s="326">
        <f>1*1</f>
        <v>1</v>
      </c>
      <c r="AF53" s="327"/>
      <c r="AG53" s="327"/>
      <c r="AH53" s="328"/>
      <c r="AI53" s="288">
        <f t="shared" si="2"/>
        <v>0</v>
      </c>
      <c r="AJ53" s="289"/>
      <c r="AK53" s="289"/>
      <c r="AL53" s="289"/>
      <c r="AM53" s="289"/>
      <c r="AN53" s="289"/>
      <c r="AO53" s="289"/>
      <c r="AP53" s="289"/>
      <c r="AQ53" s="289"/>
      <c r="AR53" s="290"/>
      <c r="AS53" s="288">
        <f t="shared" si="3"/>
        <v>0</v>
      </c>
      <c r="AT53" s="289"/>
      <c r="AU53" s="289"/>
      <c r="AV53" s="289"/>
      <c r="AW53" s="289"/>
      <c r="AX53" s="289"/>
      <c r="AY53" s="289"/>
      <c r="AZ53" s="289"/>
      <c r="BA53" s="289"/>
      <c r="BB53" s="291"/>
    </row>
    <row r="54" spans="2:54" ht="31.5" customHeight="1" x14ac:dyDescent="0.15">
      <c r="B54" s="93"/>
      <c r="C54" s="320" t="s">
        <v>91</v>
      </c>
      <c r="D54" s="321"/>
      <c r="E54" s="321"/>
      <c r="F54" s="321"/>
      <c r="G54" s="321"/>
      <c r="H54" s="321"/>
      <c r="I54" s="321"/>
      <c r="J54" s="321"/>
      <c r="K54" s="321"/>
      <c r="L54" s="321"/>
      <c r="M54" s="322"/>
      <c r="N54" s="94"/>
      <c r="O54" s="323"/>
      <c r="P54" s="324"/>
      <c r="Q54" s="324"/>
      <c r="R54" s="324"/>
      <c r="S54" s="324"/>
      <c r="T54" s="324"/>
      <c r="U54" s="324"/>
      <c r="V54" s="324"/>
      <c r="W54" s="324"/>
      <c r="X54" s="325"/>
      <c r="Y54" s="304"/>
      <c r="Z54" s="305"/>
      <c r="AA54" s="305"/>
      <c r="AB54" s="305"/>
      <c r="AC54" s="305"/>
      <c r="AD54" s="306"/>
      <c r="AE54" s="326">
        <f>1*1.93</f>
        <v>1.93</v>
      </c>
      <c r="AF54" s="327"/>
      <c r="AG54" s="327"/>
      <c r="AH54" s="328"/>
      <c r="AI54" s="288">
        <f t="shared" si="2"/>
        <v>0</v>
      </c>
      <c r="AJ54" s="289"/>
      <c r="AK54" s="289"/>
      <c r="AL54" s="289"/>
      <c r="AM54" s="289"/>
      <c r="AN54" s="289"/>
      <c r="AO54" s="289"/>
      <c r="AP54" s="289"/>
      <c r="AQ54" s="289"/>
      <c r="AR54" s="290"/>
      <c r="AS54" s="288">
        <f t="shared" si="3"/>
        <v>0</v>
      </c>
      <c r="AT54" s="289"/>
      <c r="AU54" s="289"/>
      <c r="AV54" s="289"/>
      <c r="AW54" s="289"/>
      <c r="AX54" s="289"/>
      <c r="AY54" s="289"/>
      <c r="AZ54" s="289"/>
      <c r="BA54" s="289"/>
      <c r="BB54" s="291"/>
    </row>
    <row r="55" spans="2:54" ht="31.5" customHeight="1" x14ac:dyDescent="0.15">
      <c r="B55" s="93"/>
      <c r="C55" s="320" t="s">
        <v>92</v>
      </c>
      <c r="D55" s="321"/>
      <c r="E55" s="321"/>
      <c r="F55" s="321"/>
      <c r="G55" s="321"/>
      <c r="H55" s="321"/>
      <c r="I55" s="321"/>
      <c r="J55" s="321"/>
      <c r="K55" s="321"/>
      <c r="L55" s="321"/>
      <c r="M55" s="329"/>
      <c r="N55" s="94"/>
      <c r="O55" s="323"/>
      <c r="P55" s="324"/>
      <c r="Q55" s="324"/>
      <c r="R55" s="324"/>
      <c r="S55" s="324"/>
      <c r="T55" s="324"/>
      <c r="U55" s="324"/>
      <c r="V55" s="324"/>
      <c r="W55" s="324"/>
      <c r="X55" s="325"/>
      <c r="Y55" s="304"/>
      <c r="Z55" s="305"/>
      <c r="AA55" s="305"/>
      <c r="AB55" s="305"/>
      <c r="AC55" s="305"/>
      <c r="AD55" s="306"/>
      <c r="AE55" s="326">
        <f>1*1.48</f>
        <v>1.48</v>
      </c>
      <c r="AF55" s="327"/>
      <c r="AG55" s="327"/>
      <c r="AH55" s="328"/>
      <c r="AI55" s="288">
        <f t="shared" si="2"/>
        <v>0</v>
      </c>
      <c r="AJ55" s="289"/>
      <c r="AK55" s="289"/>
      <c r="AL55" s="289"/>
      <c r="AM55" s="289"/>
      <c r="AN55" s="289"/>
      <c r="AO55" s="289"/>
      <c r="AP55" s="289"/>
      <c r="AQ55" s="289"/>
      <c r="AR55" s="290"/>
      <c r="AS55" s="288">
        <f t="shared" si="3"/>
        <v>0</v>
      </c>
      <c r="AT55" s="289"/>
      <c r="AU55" s="289"/>
      <c r="AV55" s="289"/>
      <c r="AW55" s="289"/>
      <c r="AX55" s="289"/>
      <c r="AY55" s="289"/>
      <c r="AZ55" s="289"/>
      <c r="BA55" s="289"/>
      <c r="BB55" s="291"/>
    </row>
    <row r="56" spans="2:54" ht="31.5" customHeight="1" x14ac:dyDescent="0.15">
      <c r="B56" s="93"/>
      <c r="C56" s="320" t="s">
        <v>93</v>
      </c>
      <c r="D56" s="321"/>
      <c r="E56" s="321"/>
      <c r="F56" s="321"/>
      <c r="G56" s="321"/>
      <c r="H56" s="321"/>
      <c r="I56" s="321"/>
      <c r="J56" s="321"/>
      <c r="K56" s="321"/>
      <c r="L56" s="321"/>
      <c r="M56" s="322"/>
      <c r="N56" s="94"/>
      <c r="O56" s="323"/>
      <c r="P56" s="324"/>
      <c r="Q56" s="324"/>
      <c r="R56" s="324"/>
      <c r="S56" s="324"/>
      <c r="T56" s="324"/>
      <c r="U56" s="324"/>
      <c r="V56" s="324"/>
      <c r="W56" s="324"/>
      <c r="X56" s="325"/>
      <c r="Y56" s="304"/>
      <c r="Z56" s="305"/>
      <c r="AA56" s="305"/>
      <c r="AB56" s="305"/>
      <c r="AC56" s="305"/>
      <c r="AD56" s="306"/>
      <c r="AE56" s="326">
        <f>1*1</f>
        <v>1</v>
      </c>
      <c r="AF56" s="327"/>
      <c r="AG56" s="327"/>
      <c r="AH56" s="328"/>
      <c r="AI56" s="288">
        <f t="shared" si="2"/>
        <v>0</v>
      </c>
      <c r="AJ56" s="289"/>
      <c r="AK56" s="289"/>
      <c r="AL56" s="289"/>
      <c r="AM56" s="289"/>
      <c r="AN56" s="289"/>
      <c r="AO56" s="289"/>
      <c r="AP56" s="289"/>
      <c r="AQ56" s="289"/>
      <c r="AR56" s="290"/>
      <c r="AS56" s="288">
        <f t="shared" si="3"/>
        <v>0</v>
      </c>
      <c r="AT56" s="289"/>
      <c r="AU56" s="289"/>
      <c r="AV56" s="289"/>
      <c r="AW56" s="289"/>
      <c r="AX56" s="289"/>
      <c r="AY56" s="289"/>
      <c r="AZ56" s="289"/>
      <c r="BA56" s="289"/>
      <c r="BB56" s="291"/>
    </row>
    <row r="57" spans="2:54" ht="31.5" customHeight="1" x14ac:dyDescent="0.15">
      <c r="B57" s="93"/>
      <c r="C57" s="320" t="s">
        <v>94</v>
      </c>
      <c r="D57" s="321"/>
      <c r="E57" s="321"/>
      <c r="F57" s="321"/>
      <c r="G57" s="321"/>
      <c r="H57" s="321"/>
      <c r="I57" s="321"/>
      <c r="J57" s="321"/>
      <c r="K57" s="321"/>
      <c r="L57" s="321"/>
      <c r="M57" s="322"/>
      <c r="N57" s="94"/>
      <c r="O57" s="323"/>
      <c r="P57" s="324"/>
      <c r="Q57" s="324"/>
      <c r="R57" s="324"/>
      <c r="S57" s="324"/>
      <c r="T57" s="324"/>
      <c r="U57" s="324"/>
      <c r="V57" s="324"/>
      <c r="W57" s="324"/>
      <c r="X57" s="325"/>
      <c r="Y57" s="304"/>
      <c r="Z57" s="305"/>
      <c r="AA57" s="305"/>
      <c r="AB57" s="305"/>
      <c r="AC57" s="305"/>
      <c r="AD57" s="306"/>
      <c r="AE57" s="326">
        <f>1*1</f>
        <v>1</v>
      </c>
      <c r="AF57" s="327"/>
      <c r="AG57" s="327"/>
      <c r="AH57" s="328"/>
      <c r="AI57" s="288">
        <f t="shared" si="2"/>
        <v>0</v>
      </c>
      <c r="AJ57" s="289"/>
      <c r="AK57" s="289"/>
      <c r="AL57" s="289"/>
      <c r="AM57" s="289"/>
      <c r="AN57" s="289"/>
      <c r="AO57" s="289"/>
      <c r="AP57" s="289"/>
      <c r="AQ57" s="289"/>
      <c r="AR57" s="290"/>
      <c r="AS57" s="288">
        <f t="shared" si="3"/>
        <v>0</v>
      </c>
      <c r="AT57" s="289"/>
      <c r="AU57" s="289"/>
      <c r="AV57" s="289"/>
      <c r="AW57" s="289"/>
      <c r="AX57" s="289"/>
      <c r="AY57" s="289"/>
      <c r="AZ57" s="289"/>
      <c r="BA57" s="289"/>
      <c r="BB57" s="291"/>
    </row>
    <row r="58" spans="2:54" ht="31.5" customHeight="1" x14ac:dyDescent="0.15">
      <c r="B58" s="93"/>
      <c r="C58" s="298" t="s">
        <v>104</v>
      </c>
      <c r="D58" s="299"/>
      <c r="E58" s="299"/>
      <c r="F58" s="299"/>
      <c r="G58" s="299"/>
      <c r="H58" s="299"/>
      <c r="I58" s="299"/>
      <c r="J58" s="299"/>
      <c r="K58" s="299"/>
      <c r="L58" s="299"/>
      <c r="M58" s="300"/>
      <c r="N58" s="94"/>
      <c r="O58" s="323"/>
      <c r="P58" s="324"/>
      <c r="Q58" s="324"/>
      <c r="R58" s="324"/>
      <c r="S58" s="324"/>
      <c r="T58" s="324"/>
      <c r="U58" s="324"/>
      <c r="V58" s="324"/>
      <c r="W58" s="324"/>
      <c r="X58" s="325"/>
      <c r="Y58" s="304"/>
      <c r="Z58" s="305"/>
      <c r="AA58" s="305"/>
      <c r="AB58" s="305"/>
      <c r="AC58" s="305"/>
      <c r="AD58" s="306"/>
      <c r="AE58" s="326">
        <f>1*1.26</f>
        <v>1.26</v>
      </c>
      <c r="AF58" s="327"/>
      <c r="AG58" s="327"/>
      <c r="AH58" s="328"/>
      <c r="AI58" s="288">
        <f t="shared" si="2"/>
        <v>0</v>
      </c>
      <c r="AJ58" s="289"/>
      <c r="AK58" s="289"/>
      <c r="AL58" s="289"/>
      <c r="AM58" s="289"/>
      <c r="AN58" s="289"/>
      <c r="AO58" s="289"/>
      <c r="AP58" s="289"/>
      <c r="AQ58" s="289"/>
      <c r="AR58" s="290"/>
      <c r="AS58" s="288">
        <f t="shared" si="3"/>
        <v>0</v>
      </c>
      <c r="AT58" s="289"/>
      <c r="AU58" s="289"/>
      <c r="AV58" s="289"/>
      <c r="AW58" s="289"/>
      <c r="AX58" s="289"/>
      <c r="AY58" s="289"/>
      <c r="AZ58" s="289"/>
      <c r="BA58" s="289"/>
      <c r="BB58" s="291"/>
    </row>
    <row r="59" spans="2:54" ht="43.5" customHeight="1" thickBot="1" x14ac:dyDescent="0.2">
      <c r="B59" s="95"/>
      <c r="C59" s="298" t="s">
        <v>95</v>
      </c>
      <c r="D59" s="299"/>
      <c r="E59" s="299"/>
      <c r="F59" s="299"/>
      <c r="G59" s="299"/>
      <c r="H59" s="299"/>
      <c r="I59" s="299"/>
      <c r="J59" s="299"/>
      <c r="K59" s="299"/>
      <c r="L59" s="299"/>
      <c r="M59" s="300"/>
      <c r="N59" s="5"/>
      <c r="O59" s="301"/>
      <c r="P59" s="302"/>
      <c r="Q59" s="302"/>
      <c r="R59" s="302"/>
      <c r="S59" s="302"/>
      <c r="T59" s="302"/>
      <c r="U59" s="302"/>
      <c r="V59" s="302"/>
      <c r="W59" s="302"/>
      <c r="X59" s="303"/>
      <c r="Y59" s="304"/>
      <c r="Z59" s="305"/>
      <c r="AA59" s="305"/>
      <c r="AB59" s="305"/>
      <c r="AC59" s="305"/>
      <c r="AD59" s="306"/>
      <c r="AE59" s="307">
        <f>1*1</f>
        <v>1</v>
      </c>
      <c r="AF59" s="308"/>
      <c r="AG59" s="308"/>
      <c r="AH59" s="309"/>
      <c r="AI59" s="288">
        <f t="shared" si="2"/>
        <v>0</v>
      </c>
      <c r="AJ59" s="289"/>
      <c r="AK59" s="289"/>
      <c r="AL59" s="289"/>
      <c r="AM59" s="289"/>
      <c r="AN59" s="289"/>
      <c r="AO59" s="289"/>
      <c r="AP59" s="289"/>
      <c r="AQ59" s="289"/>
      <c r="AR59" s="290"/>
      <c r="AS59" s="288">
        <f>O59+AI59</f>
        <v>0</v>
      </c>
      <c r="AT59" s="289"/>
      <c r="AU59" s="289"/>
      <c r="AV59" s="289"/>
      <c r="AW59" s="289"/>
      <c r="AX59" s="289"/>
      <c r="AY59" s="289"/>
      <c r="AZ59" s="289"/>
      <c r="BA59" s="289"/>
      <c r="BB59" s="291"/>
    </row>
    <row r="60" spans="2:54" ht="31.5" customHeight="1" thickTop="1" x14ac:dyDescent="0.15">
      <c r="B60" s="96"/>
      <c r="C60" s="292" t="s">
        <v>96</v>
      </c>
      <c r="D60" s="293"/>
      <c r="E60" s="293"/>
      <c r="F60" s="293"/>
      <c r="G60" s="293"/>
      <c r="H60" s="293"/>
      <c r="I60" s="293"/>
      <c r="J60" s="293"/>
      <c r="K60" s="293"/>
      <c r="L60" s="293"/>
      <c r="M60" s="294"/>
      <c r="N60" s="97"/>
      <c r="O60" s="310">
        <f>SUM(O42:X59)</f>
        <v>0</v>
      </c>
      <c r="P60" s="311"/>
      <c r="Q60" s="311"/>
      <c r="R60" s="311"/>
      <c r="S60" s="311"/>
      <c r="T60" s="311"/>
      <c r="U60" s="311"/>
      <c r="V60" s="311"/>
      <c r="W60" s="311"/>
      <c r="X60" s="312"/>
      <c r="Y60" s="313">
        <f>SUM(Y42:AD59)</f>
        <v>0</v>
      </c>
      <c r="Z60" s="314"/>
      <c r="AA60" s="314"/>
      <c r="AB60" s="314"/>
      <c r="AC60" s="314"/>
      <c r="AD60" s="315"/>
      <c r="AE60" s="316"/>
      <c r="AF60" s="317"/>
      <c r="AG60" s="317"/>
      <c r="AH60" s="318"/>
      <c r="AI60" s="295">
        <f>SUM(AI42:AR59)</f>
        <v>0</v>
      </c>
      <c r="AJ60" s="296"/>
      <c r="AK60" s="296"/>
      <c r="AL60" s="296"/>
      <c r="AM60" s="296"/>
      <c r="AN60" s="296"/>
      <c r="AO60" s="296"/>
      <c r="AP60" s="296"/>
      <c r="AQ60" s="296"/>
      <c r="AR60" s="319"/>
      <c r="AS60" s="295">
        <f>SUM(AS42:BB59)</f>
        <v>0</v>
      </c>
      <c r="AT60" s="296"/>
      <c r="AU60" s="296"/>
      <c r="AV60" s="296"/>
      <c r="AW60" s="296"/>
      <c r="AX60" s="296"/>
      <c r="AY60" s="296"/>
      <c r="AZ60" s="296"/>
      <c r="BA60" s="296"/>
      <c r="BB60" s="297"/>
    </row>
    <row r="61" spans="2:54" ht="6" customHeight="1" x14ac:dyDescent="0.15">
      <c r="C61" s="98"/>
      <c r="D61" s="98"/>
      <c r="E61" s="98"/>
      <c r="F61" s="98"/>
      <c r="G61" s="98"/>
      <c r="H61" s="98"/>
      <c r="I61" s="98"/>
      <c r="J61" s="98"/>
      <c r="K61" s="98"/>
      <c r="L61" s="98"/>
      <c r="M61"/>
      <c r="N61"/>
      <c r="O61" s="99"/>
      <c r="P61"/>
      <c r="Q61"/>
      <c r="R61"/>
      <c r="S61"/>
      <c r="T61"/>
      <c r="U61"/>
      <c r="V61"/>
      <c r="W61"/>
      <c r="X61"/>
      <c r="AE61" s="4"/>
      <c r="AF61" s="32"/>
      <c r="AG61" s="32"/>
      <c r="AH61" s="32"/>
      <c r="AI61" s="99"/>
      <c r="AJ61" s="100"/>
      <c r="AK61" s="100"/>
      <c r="AL61" s="100"/>
      <c r="AM61" s="100"/>
      <c r="AN61" s="100"/>
      <c r="AO61" s="100"/>
      <c r="AP61" s="100"/>
      <c r="AQ61" s="100"/>
      <c r="AR61" s="100"/>
      <c r="AS61" s="99"/>
      <c r="AT61" s="100"/>
      <c r="AU61" s="100"/>
      <c r="AV61" s="100"/>
      <c r="AW61" s="100"/>
      <c r="AX61" s="100"/>
      <c r="AY61" s="100"/>
      <c r="AZ61" s="100"/>
      <c r="BA61" s="100"/>
      <c r="BB61" s="100"/>
    </row>
    <row r="62" spans="2:54" ht="13.5" customHeight="1" x14ac:dyDescent="0.15">
      <c r="B62" s="284" t="s">
        <v>97</v>
      </c>
      <c r="C62" s="284"/>
      <c r="D62" s="284"/>
      <c r="E62" s="285" t="s">
        <v>105</v>
      </c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85"/>
      <c r="AG62" s="285"/>
      <c r="AH62" s="285"/>
      <c r="AI62" s="285"/>
      <c r="AJ62" s="285"/>
      <c r="AK62" s="285"/>
      <c r="AL62" s="285"/>
      <c r="AM62" s="285"/>
      <c r="AN62" s="285"/>
      <c r="AO62" s="285"/>
      <c r="AP62" s="285"/>
      <c r="AQ62" s="285"/>
      <c r="AR62" s="285"/>
      <c r="AS62" s="285"/>
      <c r="AT62" s="285"/>
      <c r="AU62" s="285"/>
      <c r="AV62" s="285"/>
      <c r="AW62" s="285"/>
      <c r="AX62" s="285"/>
      <c r="AY62" s="285"/>
      <c r="AZ62" s="285"/>
      <c r="BA62" s="285"/>
      <c r="BB62" s="285"/>
    </row>
    <row r="63" spans="2:54" ht="13.5" customHeight="1" x14ac:dyDescent="0.15">
      <c r="B63" s="101"/>
      <c r="E63" s="285" t="s">
        <v>98</v>
      </c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85"/>
      <c r="AG63" s="285"/>
      <c r="AH63" s="285"/>
      <c r="AI63" s="285"/>
      <c r="AJ63" s="285"/>
      <c r="AK63" s="285"/>
      <c r="AL63" s="285"/>
      <c r="AM63" s="285"/>
      <c r="AN63" s="285"/>
      <c r="AO63" s="285"/>
      <c r="AP63" s="285"/>
      <c r="AQ63" s="285"/>
      <c r="AR63" s="285"/>
      <c r="AS63" s="285"/>
      <c r="AT63" s="285"/>
      <c r="AU63" s="285"/>
      <c r="AV63" s="285"/>
      <c r="AW63" s="285"/>
      <c r="AX63" s="285"/>
      <c r="AY63" s="285"/>
      <c r="AZ63" s="285"/>
      <c r="BA63" s="285"/>
      <c r="BB63" s="285"/>
    </row>
    <row r="65" spans="2:74" ht="13.5" customHeight="1" x14ac:dyDescent="0.15">
      <c r="X65" s="286" t="s">
        <v>54</v>
      </c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"/>
      <c r="AN65" s="287" t="str">
        <f>納入・納付申告書!$AV$12</f>
        <v>有限会社　オー・エス収集センター</v>
      </c>
      <c r="AO65" s="287"/>
      <c r="AP65" s="287"/>
      <c r="AQ65" s="287"/>
      <c r="AR65" s="287"/>
      <c r="AS65" s="287"/>
      <c r="AT65" s="287"/>
      <c r="AU65" s="287"/>
      <c r="AV65" s="287"/>
      <c r="AW65" s="287"/>
      <c r="AX65" s="287"/>
      <c r="AY65" s="287"/>
      <c r="AZ65" s="287"/>
      <c r="BA65" s="287"/>
      <c r="BB65" s="287"/>
    </row>
    <row r="66" spans="2:74" ht="6.75" customHeight="1" x14ac:dyDescent="0.15"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</row>
    <row r="67" spans="2:74" ht="40.5" customHeight="1" x14ac:dyDescent="0.2">
      <c r="B67" s="360" t="s">
        <v>70</v>
      </c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  <c r="Z67" s="361"/>
      <c r="AA67" s="361"/>
      <c r="AB67" s="361"/>
      <c r="AC67" s="361"/>
      <c r="AD67" s="361"/>
      <c r="AE67" s="361"/>
      <c r="AF67" s="361"/>
      <c r="AG67" s="361"/>
      <c r="AH67" s="361"/>
      <c r="AI67" s="361"/>
      <c r="AJ67" s="361"/>
      <c r="AK67" s="361"/>
      <c r="AL67" s="361"/>
      <c r="AM67" s="361"/>
      <c r="AN67" s="361"/>
      <c r="AO67" s="361"/>
      <c r="AP67" s="361"/>
      <c r="AQ67" s="361"/>
      <c r="AR67" s="361"/>
      <c r="AS67" s="361"/>
      <c r="AT67" s="361"/>
      <c r="AU67" s="361"/>
      <c r="AV67" s="361"/>
      <c r="AW67" s="361"/>
      <c r="AX67" s="361"/>
      <c r="AY67" s="361"/>
      <c r="AZ67" s="361"/>
      <c r="BA67" s="361"/>
      <c r="BB67" s="362"/>
    </row>
    <row r="68" spans="2:74" ht="15" customHeight="1" x14ac:dyDescent="0.15">
      <c r="B68" s="363" t="s">
        <v>9</v>
      </c>
      <c r="C68" s="364"/>
      <c r="D68" s="364"/>
      <c r="E68" s="364"/>
      <c r="F68" s="364"/>
      <c r="G68" s="364"/>
      <c r="H68" s="364"/>
      <c r="I68" s="364"/>
      <c r="J68" s="364"/>
      <c r="K68" s="366" t="str">
        <f>納入・納付申告書!CB45&amp;"分"</f>
        <v>令和7年6月分</v>
      </c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  <c r="AA68" s="367"/>
      <c r="AB68" s="367"/>
      <c r="AC68" s="367"/>
      <c r="AD68" s="368"/>
      <c r="AE68" s="372" t="s">
        <v>71</v>
      </c>
      <c r="AF68" s="372"/>
      <c r="AG68" s="372"/>
      <c r="AH68" s="372"/>
      <c r="AI68" s="372"/>
      <c r="AJ68" s="372"/>
      <c r="AK68" s="372"/>
      <c r="AL68" s="372"/>
      <c r="AM68" s="364" t="s">
        <v>72</v>
      </c>
      <c r="AN68" s="364"/>
      <c r="AO68" s="364"/>
      <c r="AP68" s="364"/>
      <c r="AQ68" s="364"/>
      <c r="AR68" s="364"/>
      <c r="AS68" s="364"/>
      <c r="AT68" s="364"/>
      <c r="AU68" s="364"/>
      <c r="AV68" s="364"/>
      <c r="AW68" s="364"/>
      <c r="AX68" s="364"/>
      <c r="AY68" s="364"/>
      <c r="AZ68" s="364"/>
      <c r="BA68" s="364"/>
      <c r="BB68" s="374"/>
      <c r="BV68" s="1" t="s">
        <v>68</v>
      </c>
    </row>
    <row r="69" spans="2:74" ht="15" customHeight="1" x14ac:dyDescent="0.15">
      <c r="B69" s="365"/>
      <c r="C69" s="359"/>
      <c r="D69" s="359"/>
      <c r="E69" s="359"/>
      <c r="F69" s="359"/>
      <c r="G69" s="359"/>
      <c r="H69" s="359"/>
      <c r="I69" s="359"/>
      <c r="J69" s="359"/>
      <c r="K69" s="369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  <c r="AA69" s="370"/>
      <c r="AB69" s="370"/>
      <c r="AC69" s="370"/>
      <c r="AD69" s="371"/>
      <c r="AE69" s="373"/>
      <c r="AF69" s="373"/>
      <c r="AG69" s="373"/>
      <c r="AH69" s="373"/>
      <c r="AI69" s="373"/>
      <c r="AJ69" s="373"/>
      <c r="AK69" s="373"/>
      <c r="AL69" s="373"/>
      <c r="AM69" s="359"/>
      <c r="AN69" s="359"/>
      <c r="AO69" s="359"/>
      <c r="AP69" s="359"/>
      <c r="AQ69" s="359"/>
      <c r="AR69" s="359"/>
      <c r="AS69" s="359"/>
      <c r="AT69" s="359"/>
      <c r="AU69" s="359"/>
      <c r="AV69" s="359"/>
      <c r="AW69" s="359"/>
      <c r="AX69" s="359"/>
      <c r="AY69" s="359"/>
      <c r="AZ69" s="359"/>
      <c r="BA69" s="359"/>
      <c r="BB69" s="375"/>
    </row>
    <row r="70" spans="2:74" ht="13.5" customHeight="1" x14ac:dyDescent="0.15">
      <c r="B70" s="335" t="s">
        <v>73</v>
      </c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7"/>
      <c r="N70" s="5"/>
      <c r="O70" s="339" t="s">
        <v>74</v>
      </c>
      <c r="P70" s="340"/>
      <c r="Q70" s="340"/>
      <c r="R70" s="340"/>
      <c r="S70" s="340"/>
      <c r="T70" s="340"/>
      <c r="U70" s="340"/>
      <c r="V70" s="340"/>
      <c r="W70" s="340"/>
      <c r="X70" s="341"/>
      <c r="Y70" s="332" t="s">
        <v>75</v>
      </c>
      <c r="Z70" s="333"/>
      <c r="AA70" s="333"/>
      <c r="AB70" s="333"/>
      <c r="AC70" s="333"/>
      <c r="AD70" s="333"/>
      <c r="AE70" s="333"/>
      <c r="AF70" s="333"/>
      <c r="AG70" s="333"/>
      <c r="AH70" s="333"/>
      <c r="AI70" s="333"/>
      <c r="AJ70" s="333"/>
      <c r="AK70" s="333"/>
      <c r="AL70" s="333"/>
      <c r="AM70" s="333"/>
      <c r="AN70" s="333"/>
      <c r="AO70" s="333"/>
      <c r="AP70" s="333"/>
      <c r="AQ70" s="333"/>
      <c r="AR70" s="334"/>
      <c r="AS70" s="339" t="s">
        <v>76</v>
      </c>
      <c r="AT70" s="345"/>
      <c r="AU70" s="345"/>
      <c r="AV70" s="345"/>
      <c r="AW70" s="345"/>
      <c r="AX70" s="345"/>
      <c r="AY70" s="345"/>
      <c r="AZ70" s="345"/>
      <c r="BA70" s="345"/>
      <c r="BB70" s="346"/>
    </row>
    <row r="71" spans="2:74" x14ac:dyDescent="0.15">
      <c r="B71" s="338"/>
      <c r="C71" s="336"/>
      <c r="D71" s="336"/>
      <c r="E71" s="336"/>
      <c r="F71" s="336"/>
      <c r="G71" s="336"/>
      <c r="H71" s="336"/>
      <c r="I71" s="336"/>
      <c r="J71" s="336"/>
      <c r="K71" s="336"/>
      <c r="L71" s="336"/>
      <c r="M71" s="337"/>
      <c r="N71"/>
      <c r="O71" s="342"/>
      <c r="P71" s="343"/>
      <c r="Q71" s="343"/>
      <c r="R71" s="343"/>
      <c r="S71" s="343"/>
      <c r="T71" s="343"/>
      <c r="U71" s="343"/>
      <c r="V71" s="343"/>
      <c r="W71" s="343"/>
      <c r="X71" s="344"/>
      <c r="Y71" s="354" t="s">
        <v>77</v>
      </c>
      <c r="Z71" s="340"/>
      <c r="AA71" s="340"/>
      <c r="AB71" s="340"/>
      <c r="AC71" s="340"/>
      <c r="AD71" s="341"/>
      <c r="AE71" s="354" t="s">
        <v>78</v>
      </c>
      <c r="AF71" s="355"/>
      <c r="AG71" s="356"/>
      <c r="AH71" s="357"/>
      <c r="AI71" s="354" t="s">
        <v>79</v>
      </c>
      <c r="AJ71" s="355"/>
      <c r="AK71" s="356"/>
      <c r="AL71" s="356"/>
      <c r="AM71" s="356"/>
      <c r="AN71" s="356"/>
      <c r="AO71" s="356"/>
      <c r="AP71" s="356"/>
      <c r="AQ71" s="356"/>
      <c r="AR71" s="357"/>
      <c r="AS71" s="347"/>
      <c r="AT71" s="284"/>
      <c r="AU71" s="284"/>
      <c r="AV71" s="284"/>
      <c r="AW71" s="284"/>
      <c r="AX71" s="284"/>
      <c r="AY71" s="284"/>
      <c r="AZ71" s="284"/>
      <c r="BA71" s="284"/>
      <c r="BB71" s="348"/>
    </row>
    <row r="72" spans="2:74" ht="13.5" customHeight="1" x14ac:dyDescent="0.15">
      <c r="B72" s="338"/>
      <c r="C72" s="336"/>
      <c r="D72" s="336"/>
      <c r="E72" s="336"/>
      <c r="F72" s="336"/>
      <c r="G72" s="336"/>
      <c r="H72" s="336"/>
      <c r="I72" s="336"/>
      <c r="J72" s="336"/>
      <c r="K72" s="336"/>
      <c r="L72" s="336"/>
      <c r="M72" s="337"/>
      <c r="N72"/>
      <c r="O72" s="349" t="s">
        <v>64</v>
      </c>
      <c r="P72" s="350"/>
      <c r="Q72" s="350"/>
      <c r="R72" s="350"/>
      <c r="S72" s="350"/>
      <c r="T72" s="350"/>
      <c r="U72" s="350"/>
      <c r="V72" s="350"/>
      <c r="W72" s="350"/>
      <c r="X72" s="358"/>
      <c r="Y72" s="349" t="s">
        <v>99</v>
      </c>
      <c r="Z72" s="350"/>
      <c r="AA72" s="350"/>
      <c r="AB72" s="350"/>
      <c r="AC72" s="350"/>
      <c r="AD72" s="358"/>
      <c r="AE72" s="349" t="s">
        <v>100</v>
      </c>
      <c r="AF72" s="359"/>
      <c r="AG72" s="350"/>
      <c r="AH72" s="358"/>
      <c r="AI72" s="349" t="s">
        <v>101</v>
      </c>
      <c r="AJ72" s="359"/>
      <c r="AK72" s="350"/>
      <c r="AL72" s="350"/>
      <c r="AM72" s="350"/>
      <c r="AN72" s="350"/>
      <c r="AO72" s="350"/>
      <c r="AP72" s="350"/>
      <c r="AQ72" s="350"/>
      <c r="AR72" s="358"/>
      <c r="AS72" s="349" t="s">
        <v>102</v>
      </c>
      <c r="AT72" s="350"/>
      <c r="AU72" s="350"/>
      <c r="AV72" s="350"/>
      <c r="AW72" s="350"/>
      <c r="AX72" s="350"/>
      <c r="AY72" s="350"/>
      <c r="AZ72" s="350"/>
      <c r="BA72" s="350"/>
      <c r="BB72" s="351"/>
    </row>
    <row r="73" spans="2:74" ht="31.5" customHeight="1" x14ac:dyDescent="0.15">
      <c r="B73" s="93"/>
      <c r="C73" s="320" t="s">
        <v>80</v>
      </c>
      <c r="D73" s="321"/>
      <c r="E73" s="321"/>
      <c r="F73" s="321"/>
      <c r="G73" s="321"/>
      <c r="H73" s="321"/>
      <c r="I73" s="321"/>
      <c r="J73" s="321"/>
      <c r="K73" s="321"/>
      <c r="L73" s="321"/>
      <c r="M73" s="322"/>
      <c r="N73" s="94"/>
      <c r="O73" s="323"/>
      <c r="P73" s="352"/>
      <c r="Q73" s="352"/>
      <c r="R73" s="352"/>
      <c r="S73" s="352"/>
      <c r="T73" s="352"/>
      <c r="U73" s="352"/>
      <c r="V73" s="352"/>
      <c r="W73" s="352"/>
      <c r="X73" s="353"/>
      <c r="Y73" s="304"/>
      <c r="Z73" s="305"/>
      <c r="AA73" s="305"/>
      <c r="AB73" s="305"/>
      <c r="AC73" s="305"/>
      <c r="AD73" s="306"/>
      <c r="AE73" s="326">
        <f>1.14*1</f>
        <v>1.1399999999999999</v>
      </c>
      <c r="AF73" s="327"/>
      <c r="AG73" s="327"/>
      <c r="AH73" s="328"/>
      <c r="AI73" s="288">
        <f>ROUNDDOWN(ROUNDDOWN(Y73,3)*AE73,5)</f>
        <v>0</v>
      </c>
      <c r="AJ73" s="289"/>
      <c r="AK73" s="289"/>
      <c r="AL73" s="289"/>
      <c r="AM73" s="289"/>
      <c r="AN73" s="289"/>
      <c r="AO73" s="289"/>
      <c r="AP73" s="289"/>
      <c r="AQ73" s="289"/>
      <c r="AR73" s="290"/>
      <c r="AS73" s="288">
        <f>O73+AI73</f>
        <v>0</v>
      </c>
      <c r="AT73" s="289"/>
      <c r="AU73" s="289"/>
      <c r="AV73" s="289"/>
      <c r="AW73" s="289"/>
      <c r="AX73" s="289"/>
      <c r="AY73" s="289"/>
      <c r="AZ73" s="289"/>
      <c r="BA73" s="289"/>
      <c r="BB73" s="291"/>
    </row>
    <row r="74" spans="2:74" ht="31.5" customHeight="1" x14ac:dyDescent="0.15">
      <c r="B74" s="93"/>
      <c r="C74" s="320" t="s">
        <v>81</v>
      </c>
      <c r="D74" s="321"/>
      <c r="E74" s="321"/>
      <c r="F74" s="321"/>
      <c r="G74" s="321"/>
      <c r="H74" s="321"/>
      <c r="I74" s="321"/>
      <c r="J74" s="321"/>
      <c r="K74" s="321"/>
      <c r="L74" s="321"/>
      <c r="M74" s="322"/>
      <c r="N74" s="94"/>
      <c r="O74" s="323"/>
      <c r="P74" s="324"/>
      <c r="Q74" s="324"/>
      <c r="R74" s="324"/>
      <c r="S74" s="324"/>
      <c r="T74" s="324"/>
      <c r="U74" s="324"/>
      <c r="V74" s="324"/>
      <c r="W74" s="324"/>
      <c r="X74" s="325"/>
      <c r="Y74" s="304"/>
      <c r="Z74" s="305"/>
      <c r="AA74" s="305"/>
      <c r="AB74" s="305"/>
      <c r="AC74" s="305"/>
      <c r="AD74" s="306"/>
      <c r="AE74" s="326">
        <f>1.1*1</f>
        <v>1.1000000000000001</v>
      </c>
      <c r="AF74" s="327"/>
      <c r="AG74" s="327"/>
      <c r="AH74" s="328"/>
      <c r="AI74" s="288">
        <f t="shared" ref="AI74:AI90" si="4">ROUNDDOWN(ROUNDDOWN(Y74,3)*AE74,5)</f>
        <v>0</v>
      </c>
      <c r="AJ74" s="289"/>
      <c r="AK74" s="289"/>
      <c r="AL74" s="289"/>
      <c r="AM74" s="289"/>
      <c r="AN74" s="289"/>
      <c r="AO74" s="289"/>
      <c r="AP74" s="289"/>
      <c r="AQ74" s="289"/>
      <c r="AR74" s="290"/>
      <c r="AS74" s="288">
        <f t="shared" ref="AS74:AS89" si="5">O74+AI74</f>
        <v>0</v>
      </c>
      <c r="AT74" s="289"/>
      <c r="AU74" s="289"/>
      <c r="AV74" s="289"/>
      <c r="AW74" s="289"/>
      <c r="AX74" s="289"/>
      <c r="AY74" s="289"/>
      <c r="AZ74" s="289"/>
      <c r="BA74" s="289"/>
      <c r="BB74" s="291"/>
    </row>
    <row r="75" spans="2:74" ht="31.5" customHeight="1" x14ac:dyDescent="0.15">
      <c r="B75" s="93"/>
      <c r="C75" s="320" t="s">
        <v>82</v>
      </c>
      <c r="D75" s="321"/>
      <c r="E75" s="321"/>
      <c r="F75" s="321"/>
      <c r="G75" s="321"/>
      <c r="H75" s="321"/>
      <c r="I75" s="321"/>
      <c r="J75" s="321"/>
      <c r="K75" s="321"/>
      <c r="L75" s="321"/>
      <c r="M75" s="322"/>
      <c r="N75" s="94"/>
      <c r="O75" s="323"/>
      <c r="P75" s="324"/>
      <c r="Q75" s="324"/>
      <c r="R75" s="324"/>
      <c r="S75" s="324"/>
      <c r="T75" s="324"/>
      <c r="U75" s="324"/>
      <c r="V75" s="324"/>
      <c r="W75" s="324"/>
      <c r="X75" s="325"/>
      <c r="Y75" s="304"/>
      <c r="Z75" s="305"/>
      <c r="AA75" s="305"/>
      <c r="AB75" s="305"/>
      <c r="AC75" s="305"/>
      <c r="AD75" s="306"/>
      <c r="AE75" s="326">
        <f>0.9*1</f>
        <v>0.9</v>
      </c>
      <c r="AF75" s="327"/>
      <c r="AG75" s="327"/>
      <c r="AH75" s="328"/>
      <c r="AI75" s="288">
        <f t="shared" si="4"/>
        <v>0</v>
      </c>
      <c r="AJ75" s="289"/>
      <c r="AK75" s="289"/>
      <c r="AL75" s="289"/>
      <c r="AM75" s="289"/>
      <c r="AN75" s="289"/>
      <c r="AO75" s="289"/>
      <c r="AP75" s="289"/>
      <c r="AQ75" s="289"/>
      <c r="AR75" s="290"/>
      <c r="AS75" s="288">
        <f t="shared" si="5"/>
        <v>0</v>
      </c>
      <c r="AT75" s="289"/>
      <c r="AU75" s="289"/>
      <c r="AV75" s="289"/>
      <c r="AW75" s="289"/>
      <c r="AX75" s="289"/>
      <c r="AY75" s="289"/>
      <c r="AZ75" s="289"/>
      <c r="BA75" s="289"/>
      <c r="BB75" s="291"/>
    </row>
    <row r="76" spans="2:74" ht="31.5" customHeight="1" x14ac:dyDescent="0.15">
      <c r="B76" s="93"/>
      <c r="C76" s="320" t="s">
        <v>83</v>
      </c>
      <c r="D76" s="321"/>
      <c r="E76" s="321"/>
      <c r="F76" s="321"/>
      <c r="G76" s="321"/>
      <c r="H76" s="321"/>
      <c r="I76" s="321"/>
      <c r="J76" s="321"/>
      <c r="K76" s="321"/>
      <c r="L76" s="321"/>
      <c r="M76" s="322"/>
      <c r="N76" s="94"/>
      <c r="O76" s="323"/>
      <c r="P76" s="324"/>
      <c r="Q76" s="324"/>
      <c r="R76" s="324"/>
      <c r="S76" s="324"/>
      <c r="T76" s="324"/>
      <c r="U76" s="324"/>
      <c r="V76" s="324"/>
      <c r="W76" s="324"/>
      <c r="X76" s="325"/>
      <c r="Y76" s="304"/>
      <c r="Z76" s="305"/>
      <c r="AA76" s="305"/>
      <c r="AB76" s="305"/>
      <c r="AC76" s="305"/>
      <c r="AD76" s="306"/>
      <c r="AE76" s="326">
        <f>0.35*1</f>
        <v>0.35</v>
      </c>
      <c r="AF76" s="327"/>
      <c r="AG76" s="327"/>
      <c r="AH76" s="328"/>
      <c r="AI76" s="288">
        <f t="shared" si="4"/>
        <v>0</v>
      </c>
      <c r="AJ76" s="289"/>
      <c r="AK76" s="289"/>
      <c r="AL76" s="289"/>
      <c r="AM76" s="289"/>
      <c r="AN76" s="289"/>
      <c r="AO76" s="289"/>
      <c r="AP76" s="289"/>
      <c r="AQ76" s="289"/>
      <c r="AR76" s="290"/>
      <c r="AS76" s="288">
        <f t="shared" si="5"/>
        <v>0</v>
      </c>
      <c r="AT76" s="289"/>
      <c r="AU76" s="289"/>
      <c r="AV76" s="289"/>
      <c r="AW76" s="289"/>
      <c r="AX76" s="289"/>
      <c r="AY76" s="289"/>
      <c r="AZ76" s="289"/>
      <c r="BA76" s="289"/>
      <c r="BB76" s="291"/>
    </row>
    <row r="77" spans="2:74" ht="31.5" customHeight="1" x14ac:dyDescent="0.15">
      <c r="B77" s="93"/>
      <c r="C77" s="320" t="s">
        <v>84</v>
      </c>
      <c r="D77" s="321"/>
      <c r="E77" s="321"/>
      <c r="F77" s="321"/>
      <c r="G77" s="321"/>
      <c r="H77" s="321"/>
      <c r="I77" s="321"/>
      <c r="J77" s="321"/>
      <c r="K77" s="321"/>
      <c r="L77" s="321"/>
      <c r="M77" s="322"/>
      <c r="N77" s="94"/>
      <c r="O77" s="323"/>
      <c r="P77" s="324"/>
      <c r="Q77" s="324"/>
      <c r="R77" s="324"/>
      <c r="S77" s="324"/>
      <c r="T77" s="324"/>
      <c r="U77" s="324"/>
      <c r="V77" s="324"/>
      <c r="W77" s="324"/>
      <c r="X77" s="325"/>
      <c r="Y77" s="304"/>
      <c r="Z77" s="305"/>
      <c r="AA77" s="305"/>
      <c r="AB77" s="305"/>
      <c r="AC77" s="305"/>
      <c r="AD77" s="306"/>
      <c r="AE77" s="326">
        <f>0.3*1</f>
        <v>0.3</v>
      </c>
      <c r="AF77" s="327"/>
      <c r="AG77" s="327"/>
      <c r="AH77" s="328"/>
      <c r="AI77" s="288">
        <f t="shared" si="4"/>
        <v>0</v>
      </c>
      <c r="AJ77" s="289"/>
      <c r="AK77" s="289"/>
      <c r="AL77" s="289"/>
      <c r="AM77" s="289"/>
      <c r="AN77" s="289"/>
      <c r="AO77" s="289"/>
      <c r="AP77" s="289"/>
      <c r="AQ77" s="289"/>
      <c r="AR77" s="290"/>
      <c r="AS77" s="288">
        <f t="shared" si="5"/>
        <v>0</v>
      </c>
      <c r="AT77" s="289"/>
      <c r="AU77" s="289"/>
      <c r="AV77" s="289"/>
      <c r="AW77" s="289"/>
      <c r="AX77" s="289"/>
      <c r="AY77" s="289"/>
      <c r="AZ77" s="289"/>
      <c r="BA77" s="289"/>
      <c r="BB77" s="291"/>
    </row>
    <row r="78" spans="2:74" ht="31.5" customHeight="1" x14ac:dyDescent="0.15">
      <c r="B78" s="93"/>
      <c r="C78" s="320" t="s">
        <v>85</v>
      </c>
      <c r="D78" s="321"/>
      <c r="E78" s="321"/>
      <c r="F78" s="321"/>
      <c r="G78" s="321"/>
      <c r="H78" s="321"/>
      <c r="I78" s="321"/>
      <c r="J78" s="321"/>
      <c r="K78" s="321"/>
      <c r="L78" s="321"/>
      <c r="M78" s="322"/>
      <c r="N78" s="94"/>
      <c r="O78" s="323"/>
      <c r="P78" s="324"/>
      <c r="Q78" s="324"/>
      <c r="R78" s="324"/>
      <c r="S78" s="324"/>
      <c r="T78" s="324"/>
      <c r="U78" s="324"/>
      <c r="V78" s="324"/>
      <c r="W78" s="324"/>
      <c r="X78" s="325"/>
      <c r="Y78" s="304"/>
      <c r="Z78" s="305"/>
      <c r="AA78" s="305"/>
      <c r="AB78" s="305"/>
      <c r="AC78" s="305"/>
      <c r="AD78" s="306"/>
      <c r="AE78" s="326">
        <f>0.55*1</f>
        <v>0.55000000000000004</v>
      </c>
      <c r="AF78" s="327"/>
      <c r="AG78" s="327"/>
      <c r="AH78" s="328"/>
      <c r="AI78" s="288">
        <f t="shared" si="4"/>
        <v>0</v>
      </c>
      <c r="AJ78" s="289"/>
      <c r="AK78" s="289"/>
      <c r="AL78" s="289"/>
      <c r="AM78" s="289"/>
      <c r="AN78" s="289"/>
      <c r="AO78" s="289"/>
      <c r="AP78" s="289"/>
      <c r="AQ78" s="289"/>
      <c r="AR78" s="290"/>
      <c r="AS78" s="288">
        <f t="shared" si="5"/>
        <v>0</v>
      </c>
      <c r="AT78" s="289"/>
      <c r="AU78" s="289"/>
      <c r="AV78" s="289"/>
      <c r="AW78" s="289"/>
      <c r="AX78" s="289"/>
      <c r="AY78" s="289"/>
      <c r="AZ78" s="289"/>
      <c r="BA78" s="289"/>
      <c r="BB78" s="291"/>
    </row>
    <row r="79" spans="2:74" ht="31.5" customHeight="1" x14ac:dyDescent="0.15">
      <c r="B79" s="93"/>
      <c r="C79" s="320" t="s">
        <v>86</v>
      </c>
      <c r="D79" s="321"/>
      <c r="E79" s="321"/>
      <c r="F79" s="321"/>
      <c r="G79" s="321"/>
      <c r="H79" s="321"/>
      <c r="I79" s="321"/>
      <c r="J79" s="321"/>
      <c r="K79" s="321"/>
      <c r="L79" s="321"/>
      <c r="M79" s="322"/>
      <c r="N79" s="94"/>
      <c r="O79" s="323"/>
      <c r="P79" s="324"/>
      <c r="Q79" s="324"/>
      <c r="R79" s="324"/>
      <c r="S79" s="324"/>
      <c r="T79" s="324"/>
      <c r="U79" s="324"/>
      <c r="V79" s="324"/>
      <c r="W79" s="324"/>
      <c r="X79" s="325"/>
      <c r="Y79" s="304"/>
      <c r="Z79" s="305"/>
      <c r="AA79" s="305"/>
      <c r="AB79" s="305"/>
      <c r="AC79" s="305"/>
      <c r="AD79" s="306"/>
      <c r="AE79" s="326">
        <f>0.12*1</f>
        <v>0.12</v>
      </c>
      <c r="AF79" s="327"/>
      <c r="AG79" s="327"/>
      <c r="AH79" s="328"/>
      <c r="AI79" s="288">
        <f t="shared" si="4"/>
        <v>0</v>
      </c>
      <c r="AJ79" s="289"/>
      <c r="AK79" s="289"/>
      <c r="AL79" s="289"/>
      <c r="AM79" s="289"/>
      <c r="AN79" s="289"/>
      <c r="AO79" s="289"/>
      <c r="AP79" s="289"/>
      <c r="AQ79" s="289"/>
      <c r="AR79" s="290"/>
      <c r="AS79" s="288">
        <f t="shared" si="5"/>
        <v>0</v>
      </c>
      <c r="AT79" s="289"/>
      <c r="AU79" s="289"/>
      <c r="AV79" s="289"/>
      <c r="AW79" s="289"/>
      <c r="AX79" s="289"/>
      <c r="AY79" s="289"/>
      <c r="AZ79" s="289"/>
      <c r="BA79" s="289"/>
      <c r="BB79" s="291"/>
    </row>
    <row r="80" spans="2:74" ht="31.5" customHeight="1" x14ac:dyDescent="0.15">
      <c r="B80" s="93"/>
      <c r="C80" s="330" t="s">
        <v>87</v>
      </c>
      <c r="D80" s="330"/>
      <c r="E80" s="330"/>
      <c r="F80" s="330"/>
      <c r="G80" s="330"/>
      <c r="H80" s="330"/>
      <c r="I80" s="330"/>
      <c r="J80" s="330"/>
      <c r="K80" s="330"/>
      <c r="L80" s="330"/>
      <c r="M80" s="331"/>
      <c r="N80" s="94"/>
      <c r="O80" s="323"/>
      <c r="P80" s="324"/>
      <c r="Q80" s="324"/>
      <c r="R80" s="324"/>
      <c r="S80" s="324"/>
      <c r="T80" s="324"/>
      <c r="U80" s="324"/>
      <c r="V80" s="324"/>
      <c r="W80" s="324"/>
      <c r="X80" s="325"/>
      <c r="Y80" s="304"/>
      <c r="Z80" s="305"/>
      <c r="AA80" s="305"/>
      <c r="AB80" s="305"/>
      <c r="AC80" s="305"/>
      <c r="AD80" s="306"/>
      <c r="AE80" s="326">
        <f>1*1</f>
        <v>1</v>
      </c>
      <c r="AF80" s="327"/>
      <c r="AG80" s="327"/>
      <c r="AH80" s="328"/>
      <c r="AI80" s="288">
        <f t="shared" si="4"/>
        <v>0</v>
      </c>
      <c r="AJ80" s="289"/>
      <c r="AK80" s="289"/>
      <c r="AL80" s="289"/>
      <c r="AM80" s="289"/>
      <c r="AN80" s="289"/>
      <c r="AO80" s="289"/>
      <c r="AP80" s="289"/>
      <c r="AQ80" s="289"/>
      <c r="AR80" s="290"/>
      <c r="AS80" s="288">
        <f t="shared" si="5"/>
        <v>0</v>
      </c>
      <c r="AT80" s="289"/>
      <c r="AU80" s="289"/>
      <c r="AV80" s="289"/>
      <c r="AW80" s="289"/>
      <c r="AX80" s="289"/>
      <c r="AY80" s="289"/>
      <c r="AZ80" s="289"/>
      <c r="BA80" s="289"/>
      <c r="BB80" s="291"/>
    </row>
    <row r="81" spans="2:54" ht="31.5" customHeight="1" x14ac:dyDescent="0.15">
      <c r="B81" s="93"/>
      <c r="C81" s="298" t="s">
        <v>88</v>
      </c>
      <c r="D81" s="299"/>
      <c r="E81" s="299"/>
      <c r="F81" s="299"/>
      <c r="G81" s="299"/>
      <c r="H81" s="299"/>
      <c r="I81" s="299"/>
      <c r="J81" s="299"/>
      <c r="K81" s="299"/>
      <c r="L81" s="299"/>
      <c r="M81" s="300"/>
      <c r="N81" s="94"/>
      <c r="O81" s="323"/>
      <c r="P81" s="324"/>
      <c r="Q81" s="324"/>
      <c r="R81" s="324"/>
      <c r="S81" s="324"/>
      <c r="T81" s="324"/>
      <c r="U81" s="324"/>
      <c r="V81" s="324"/>
      <c r="W81" s="324"/>
      <c r="X81" s="325"/>
      <c r="Y81" s="304"/>
      <c r="Z81" s="305"/>
      <c r="AA81" s="305"/>
      <c r="AB81" s="305"/>
      <c r="AC81" s="305"/>
      <c r="AD81" s="306"/>
      <c r="AE81" s="326">
        <f>1*1</f>
        <v>1</v>
      </c>
      <c r="AF81" s="327"/>
      <c r="AG81" s="327"/>
      <c r="AH81" s="328"/>
      <c r="AI81" s="288">
        <f t="shared" si="4"/>
        <v>0</v>
      </c>
      <c r="AJ81" s="289"/>
      <c r="AK81" s="289"/>
      <c r="AL81" s="289"/>
      <c r="AM81" s="289"/>
      <c r="AN81" s="289"/>
      <c r="AO81" s="289"/>
      <c r="AP81" s="289"/>
      <c r="AQ81" s="289"/>
      <c r="AR81" s="290"/>
      <c r="AS81" s="288">
        <f t="shared" si="5"/>
        <v>0</v>
      </c>
      <c r="AT81" s="289"/>
      <c r="AU81" s="289"/>
      <c r="AV81" s="289"/>
      <c r="AW81" s="289"/>
      <c r="AX81" s="289"/>
      <c r="AY81" s="289"/>
      <c r="AZ81" s="289"/>
      <c r="BA81" s="289"/>
      <c r="BB81" s="291"/>
    </row>
    <row r="82" spans="2:54" ht="31.5" customHeight="1" x14ac:dyDescent="0.15">
      <c r="B82" s="93"/>
      <c r="C82" s="320" t="s">
        <v>103</v>
      </c>
      <c r="D82" s="321"/>
      <c r="E82" s="321"/>
      <c r="F82" s="321"/>
      <c r="G82" s="321"/>
      <c r="H82" s="321"/>
      <c r="I82" s="321"/>
      <c r="J82" s="321"/>
      <c r="K82" s="321"/>
      <c r="L82" s="321"/>
      <c r="M82" s="322"/>
      <c r="N82" s="94"/>
      <c r="O82" s="323"/>
      <c r="P82" s="324"/>
      <c r="Q82" s="324"/>
      <c r="R82" s="324"/>
      <c r="S82" s="324"/>
      <c r="T82" s="324"/>
      <c r="U82" s="324"/>
      <c r="V82" s="324"/>
      <c r="W82" s="324"/>
      <c r="X82" s="325"/>
      <c r="Y82" s="304"/>
      <c r="Z82" s="305"/>
      <c r="AA82" s="305"/>
      <c r="AB82" s="305"/>
      <c r="AC82" s="305"/>
      <c r="AD82" s="306"/>
      <c r="AE82" s="326">
        <f>1*0.52</f>
        <v>0.52</v>
      </c>
      <c r="AF82" s="327"/>
      <c r="AG82" s="327"/>
      <c r="AH82" s="328"/>
      <c r="AI82" s="288">
        <f t="shared" si="4"/>
        <v>0</v>
      </c>
      <c r="AJ82" s="289"/>
      <c r="AK82" s="289"/>
      <c r="AL82" s="289"/>
      <c r="AM82" s="289"/>
      <c r="AN82" s="289"/>
      <c r="AO82" s="289"/>
      <c r="AP82" s="289"/>
      <c r="AQ82" s="289"/>
      <c r="AR82" s="290"/>
      <c r="AS82" s="288">
        <f t="shared" si="5"/>
        <v>0</v>
      </c>
      <c r="AT82" s="289"/>
      <c r="AU82" s="289"/>
      <c r="AV82" s="289"/>
      <c r="AW82" s="289"/>
      <c r="AX82" s="289"/>
      <c r="AY82" s="289"/>
      <c r="AZ82" s="289"/>
      <c r="BA82" s="289"/>
      <c r="BB82" s="291"/>
    </row>
    <row r="83" spans="2:54" ht="31.5" customHeight="1" x14ac:dyDescent="0.15">
      <c r="B83" s="93"/>
      <c r="C83" s="320" t="s">
        <v>89</v>
      </c>
      <c r="D83" s="321"/>
      <c r="E83" s="321"/>
      <c r="F83" s="321"/>
      <c r="G83" s="321"/>
      <c r="H83" s="321"/>
      <c r="I83" s="321"/>
      <c r="J83" s="321"/>
      <c r="K83" s="321"/>
      <c r="L83" s="321"/>
      <c r="M83" s="322"/>
      <c r="N83" s="94"/>
      <c r="O83" s="323"/>
      <c r="P83" s="324"/>
      <c r="Q83" s="324"/>
      <c r="R83" s="324"/>
      <c r="S83" s="324"/>
      <c r="T83" s="324"/>
      <c r="U83" s="324"/>
      <c r="V83" s="324"/>
      <c r="W83" s="324"/>
      <c r="X83" s="325"/>
      <c r="Y83" s="304"/>
      <c r="Z83" s="305"/>
      <c r="AA83" s="305"/>
      <c r="AB83" s="305"/>
      <c r="AC83" s="305"/>
      <c r="AD83" s="306"/>
      <c r="AE83" s="326">
        <f>1*1.13</f>
        <v>1.1299999999999999</v>
      </c>
      <c r="AF83" s="327"/>
      <c r="AG83" s="327"/>
      <c r="AH83" s="328"/>
      <c r="AI83" s="288">
        <f t="shared" si="4"/>
        <v>0</v>
      </c>
      <c r="AJ83" s="289"/>
      <c r="AK83" s="289"/>
      <c r="AL83" s="289"/>
      <c r="AM83" s="289"/>
      <c r="AN83" s="289"/>
      <c r="AO83" s="289"/>
      <c r="AP83" s="289"/>
      <c r="AQ83" s="289"/>
      <c r="AR83" s="290"/>
      <c r="AS83" s="288">
        <f t="shared" si="5"/>
        <v>0</v>
      </c>
      <c r="AT83" s="289"/>
      <c r="AU83" s="289"/>
      <c r="AV83" s="289"/>
      <c r="AW83" s="289"/>
      <c r="AX83" s="289"/>
      <c r="AY83" s="289"/>
      <c r="AZ83" s="289"/>
      <c r="BA83" s="289"/>
      <c r="BB83" s="291"/>
    </row>
    <row r="84" spans="2:54" ht="31.5" customHeight="1" x14ac:dyDescent="0.15">
      <c r="B84" s="93"/>
      <c r="C84" s="320" t="s">
        <v>90</v>
      </c>
      <c r="D84" s="321"/>
      <c r="E84" s="321"/>
      <c r="F84" s="321"/>
      <c r="G84" s="321"/>
      <c r="H84" s="321"/>
      <c r="I84" s="321"/>
      <c r="J84" s="321"/>
      <c r="K84" s="321"/>
      <c r="L84" s="321"/>
      <c r="M84" s="329"/>
      <c r="N84" s="94"/>
      <c r="O84" s="323"/>
      <c r="P84" s="324"/>
      <c r="Q84" s="324"/>
      <c r="R84" s="324"/>
      <c r="S84" s="324"/>
      <c r="T84" s="324"/>
      <c r="U84" s="324"/>
      <c r="V84" s="324"/>
      <c r="W84" s="324"/>
      <c r="X84" s="325"/>
      <c r="Y84" s="304"/>
      <c r="Z84" s="305"/>
      <c r="AA84" s="305"/>
      <c r="AB84" s="305"/>
      <c r="AC84" s="305"/>
      <c r="AD84" s="306"/>
      <c r="AE84" s="326">
        <f>1*1</f>
        <v>1</v>
      </c>
      <c r="AF84" s="327"/>
      <c r="AG84" s="327"/>
      <c r="AH84" s="328"/>
      <c r="AI84" s="288">
        <f t="shared" si="4"/>
        <v>0</v>
      </c>
      <c r="AJ84" s="289"/>
      <c r="AK84" s="289"/>
      <c r="AL84" s="289"/>
      <c r="AM84" s="289"/>
      <c r="AN84" s="289"/>
      <c r="AO84" s="289"/>
      <c r="AP84" s="289"/>
      <c r="AQ84" s="289"/>
      <c r="AR84" s="290"/>
      <c r="AS84" s="288">
        <f t="shared" si="5"/>
        <v>0</v>
      </c>
      <c r="AT84" s="289"/>
      <c r="AU84" s="289"/>
      <c r="AV84" s="289"/>
      <c r="AW84" s="289"/>
      <c r="AX84" s="289"/>
      <c r="AY84" s="289"/>
      <c r="AZ84" s="289"/>
      <c r="BA84" s="289"/>
      <c r="BB84" s="291"/>
    </row>
    <row r="85" spans="2:54" ht="31.5" customHeight="1" x14ac:dyDescent="0.15">
      <c r="B85" s="93"/>
      <c r="C85" s="320" t="s">
        <v>91</v>
      </c>
      <c r="D85" s="321"/>
      <c r="E85" s="321"/>
      <c r="F85" s="321"/>
      <c r="G85" s="321"/>
      <c r="H85" s="321"/>
      <c r="I85" s="321"/>
      <c r="J85" s="321"/>
      <c r="K85" s="321"/>
      <c r="L85" s="321"/>
      <c r="M85" s="322"/>
      <c r="N85" s="94"/>
      <c r="O85" s="323"/>
      <c r="P85" s="324"/>
      <c r="Q85" s="324"/>
      <c r="R85" s="324"/>
      <c r="S85" s="324"/>
      <c r="T85" s="324"/>
      <c r="U85" s="324"/>
      <c r="V85" s="324"/>
      <c r="W85" s="324"/>
      <c r="X85" s="325"/>
      <c r="Y85" s="304"/>
      <c r="Z85" s="305"/>
      <c r="AA85" s="305"/>
      <c r="AB85" s="305"/>
      <c r="AC85" s="305"/>
      <c r="AD85" s="306"/>
      <c r="AE85" s="326">
        <f>1*1.93</f>
        <v>1.93</v>
      </c>
      <c r="AF85" s="327"/>
      <c r="AG85" s="327"/>
      <c r="AH85" s="328"/>
      <c r="AI85" s="288">
        <f t="shared" si="4"/>
        <v>0</v>
      </c>
      <c r="AJ85" s="289"/>
      <c r="AK85" s="289"/>
      <c r="AL85" s="289"/>
      <c r="AM85" s="289"/>
      <c r="AN85" s="289"/>
      <c r="AO85" s="289"/>
      <c r="AP85" s="289"/>
      <c r="AQ85" s="289"/>
      <c r="AR85" s="290"/>
      <c r="AS85" s="288">
        <f t="shared" si="5"/>
        <v>0</v>
      </c>
      <c r="AT85" s="289"/>
      <c r="AU85" s="289"/>
      <c r="AV85" s="289"/>
      <c r="AW85" s="289"/>
      <c r="AX85" s="289"/>
      <c r="AY85" s="289"/>
      <c r="AZ85" s="289"/>
      <c r="BA85" s="289"/>
      <c r="BB85" s="291"/>
    </row>
    <row r="86" spans="2:54" ht="31.5" customHeight="1" x14ac:dyDescent="0.15">
      <c r="B86" s="93"/>
      <c r="C86" s="320" t="s">
        <v>92</v>
      </c>
      <c r="D86" s="321"/>
      <c r="E86" s="321"/>
      <c r="F86" s="321"/>
      <c r="G86" s="321"/>
      <c r="H86" s="321"/>
      <c r="I86" s="321"/>
      <c r="J86" s="321"/>
      <c r="K86" s="321"/>
      <c r="L86" s="321"/>
      <c r="M86" s="329"/>
      <c r="N86" s="94"/>
      <c r="O86" s="323"/>
      <c r="P86" s="324"/>
      <c r="Q86" s="324"/>
      <c r="R86" s="324"/>
      <c r="S86" s="324"/>
      <c r="T86" s="324"/>
      <c r="U86" s="324"/>
      <c r="V86" s="324"/>
      <c r="W86" s="324"/>
      <c r="X86" s="325"/>
      <c r="Y86" s="304"/>
      <c r="Z86" s="305"/>
      <c r="AA86" s="305"/>
      <c r="AB86" s="305"/>
      <c r="AC86" s="305"/>
      <c r="AD86" s="306"/>
      <c r="AE86" s="326">
        <f>1*1.48</f>
        <v>1.48</v>
      </c>
      <c r="AF86" s="327"/>
      <c r="AG86" s="327"/>
      <c r="AH86" s="328"/>
      <c r="AI86" s="288">
        <f t="shared" si="4"/>
        <v>0</v>
      </c>
      <c r="AJ86" s="289"/>
      <c r="AK86" s="289"/>
      <c r="AL86" s="289"/>
      <c r="AM86" s="289"/>
      <c r="AN86" s="289"/>
      <c r="AO86" s="289"/>
      <c r="AP86" s="289"/>
      <c r="AQ86" s="289"/>
      <c r="AR86" s="290"/>
      <c r="AS86" s="288">
        <f t="shared" si="5"/>
        <v>0</v>
      </c>
      <c r="AT86" s="289"/>
      <c r="AU86" s="289"/>
      <c r="AV86" s="289"/>
      <c r="AW86" s="289"/>
      <c r="AX86" s="289"/>
      <c r="AY86" s="289"/>
      <c r="AZ86" s="289"/>
      <c r="BA86" s="289"/>
      <c r="BB86" s="291"/>
    </row>
    <row r="87" spans="2:54" ht="31.5" customHeight="1" x14ac:dyDescent="0.15">
      <c r="B87" s="93"/>
      <c r="C87" s="320" t="s">
        <v>93</v>
      </c>
      <c r="D87" s="321"/>
      <c r="E87" s="321"/>
      <c r="F87" s="321"/>
      <c r="G87" s="321"/>
      <c r="H87" s="321"/>
      <c r="I87" s="321"/>
      <c r="J87" s="321"/>
      <c r="K87" s="321"/>
      <c r="L87" s="321"/>
      <c r="M87" s="322"/>
      <c r="N87" s="94"/>
      <c r="O87" s="323"/>
      <c r="P87" s="324"/>
      <c r="Q87" s="324"/>
      <c r="R87" s="324"/>
      <c r="S87" s="324"/>
      <c r="T87" s="324"/>
      <c r="U87" s="324"/>
      <c r="V87" s="324"/>
      <c r="W87" s="324"/>
      <c r="X87" s="325"/>
      <c r="Y87" s="304"/>
      <c r="Z87" s="305"/>
      <c r="AA87" s="305"/>
      <c r="AB87" s="305"/>
      <c r="AC87" s="305"/>
      <c r="AD87" s="306"/>
      <c r="AE87" s="326">
        <f>1*1</f>
        <v>1</v>
      </c>
      <c r="AF87" s="327"/>
      <c r="AG87" s="327"/>
      <c r="AH87" s="328"/>
      <c r="AI87" s="288">
        <f t="shared" si="4"/>
        <v>0</v>
      </c>
      <c r="AJ87" s="289"/>
      <c r="AK87" s="289"/>
      <c r="AL87" s="289"/>
      <c r="AM87" s="289"/>
      <c r="AN87" s="289"/>
      <c r="AO87" s="289"/>
      <c r="AP87" s="289"/>
      <c r="AQ87" s="289"/>
      <c r="AR87" s="290"/>
      <c r="AS87" s="288">
        <f t="shared" si="5"/>
        <v>0</v>
      </c>
      <c r="AT87" s="289"/>
      <c r="AU87" s="289"/>
      <c r="AV87" s="289"/>
      <c r="AW87" s="289"/>
      <c r="AX87" s="289"/>
      <c r="AY87" s="289"/>
      <c r="AZ87" s="289"/>
      <c r="BA87" s="289"/>
      <c r="BB87" s="291"/>
    </row>
    <row r="88" spans="2:54" ht="31.5" customHeight="1" x14ac:dyDescent="0.15">
      <c r="B88" s="93"/>
      <c r="C88" s="320" t="s">
        <v>94</v>
      </c>
      <c r="D88" s="321"/>
      <c r="E88" s="321"/>
      <c r="F88" s="321"/>
      <c r="G88" s="321"/>
      <c r="H88" s="321"/>
      <c r="I88" s="321"/>
      <c r="J88" s="321"/>
      <c r="K88" s="321"/>
      <c r="L88" s="321"/>
      <c r="M88" s="322"/>
      <c r="N88" s="94"/>
      <c r="O88" s="323"/>
      <c r="P88" s="324"/>
      <c r="Q88" s="324"/>
      <c r="R88" s="324"/>
      <c r="S88" s="324"/>
      <c r="T88" s="324"/>
      <c r="U88" s="324"/>
      <c r="V88" s="324"/>
      <c r="W88" s="324"/>
      <c r="X88" s="325"/>
      <c r="Y88" s="304"/>
      <c r="Z88" s="305"/>
      <c r="AA88" s="305"/>
      <c r="AB88" s="305"/>
      <c r="AC88" s="305"/>
      <c r="AD88" s="306"/>
      <c r="AE88" s="326">
        <f>1*1</f>
        <v>1</v>
      </c>
      <c r="AF88" s="327"/>
      <c r="AG88" s="327"/>
      <c r="AH88" s="328"/>
      <c r="AI88" s="288">
        <f t="shared" si="4"/>
        <v>0</v>
      </c>
      <c r="AJ88" s="289"/>
      <c r="AK88" s="289"/>
      <c r="AL88" s="289"/>
      <c r="AM88" s="289"/>
      <c r="AN88" s="289"/>
      <c r="AO88" s="289"/>
      <c r="AP88" s="289"/>
      <c r="AQ88" s="289"/>
      <c r="AR88" s="290"/>
      <c r="AS88" s="288">
        <f t="shared" si="5"/>
        <v>0</v>
      </c>
      <c r="AT88" s="289"/>
      <c r="AU88" s="289"/>
      <c r="AV88" s="289"/>
      <c r="AW88" s="289"/>
      <c r="AX88" s="289"/>
      <c r="AY88" s="289"/>
      <c r="AZ88" s="289"/>
      <c r="BA88" s="289"/>
      <c r="BB88" s="291"/>
    </row>
    <row r="89" spans="2:54" ht="31.5" customHeight="1" x14ac:dyDescent="0.15">
      <c r="B89" s="93"/>
      <c r="C89" s="298" t="s">
        <v>104</v>
      </c>
      <c r="D89" s="299"/>
      <c r="E89" s="299"/>
      <c r="F89" s="299"/>
      <c r="G89" s="299"/>
      <c r="H89" s="299"/>
      <c r="I89" s="299"/>
      <c r="J89" s="299"/>
      <c r="K89" s="299"/>
      <c r="L89" s="299"/>
      <c r="M89" s="300"/>
      <c r="N89" s="94"/>
      <c r="O89" s="323"/>
      <c r="P89" s="324"/>
      <c r="Q89" s="324"/>
      <c r="R89" s="324"/>
      <c r="S89" s="324"/>
      <c r="T89" s="324"/>
      <c r="U89" s="324"/>
      <c r="V89" s="324"/>
      <c r="W89" s="324"/>
      <c r="X89" s="325"/>
      <c r="Y89" s="304"/>
      <c r="Z89" s="305"/>
      <c r="AA89" s="305"/>
      <c r="AB89" s="305"/>
      <c r="AC89" s="305"/>
      <c r="AD89" s="306"/>
      <c r="AE89" s="326">
        <f>1*1.26</f>
        <v>1.26</v>
      </c>
      <c r="AF89" s="327"/>
      <c r="AG89" s="327"/>
      <c r="AH89" s="328"/>
      <c r="AI89" s="288">
        <f t="shared" si="4"/>
        <v>0</v>
      </c>
      <c r="AJ89" s="289"/>
      <c r="AK89" s="289"/>
      <c r="AL89" s="289"/>
      <c r="AM89" s="289"/>
      <c r="AN89" s="289"/>
      <c r="AO89" s="289"/>
      <c r="AP89" s="289"/>
      <c r="AQ89" s="289"/>
      <c r="AR89" s="290"/>
      <c r="AS89" s="288">
        <f t="shared" si="5"/>
        <v>0</v>
      </c>
      <c r="AT89" s="289"/>
      <c r="AU89" s="289"/>
      <c r="AV89" s="289"/>
      <c r="AW89" s="289"/>
      <c r="AX89" s="289"/>
      <c r="AY89" s="289"/>
      <c r="AZ89" s="289"/>
      <c r="BA89" s="289"/>
      <c r="BB89" s="291"/>
    </row>
    <row r="90" spans="2:54" ht="43.5" customHeight="1" thickBot="1" x14ac:dyDescent="0.2">
      <c r="B90" s="95"/>
      <c r="C90" s="298" t="s">
        <v>95</v>
      </c>
      <c r="D90" s="299"/>
      <c r="E90" s="299"/>
      <c r="F90" s="299"/>
      <c r="G90" s="299"/>
      <c r="H90" s="299"/>
      <c r="I90" s="299"/>
      <c r="J90" s="299"/>
      <c r="K90" s="299"/>
      <c r="L90" s="299"/>
      <c r="M90" s="300"/>
      <c r="N90" s="5"/>
      <c r="O90" s="301"/>
      <c r="P90" s="302"/>
      <c r="Q90" s="302"/>
      <c r="R90" s="302"/>
      <c r="S90" s="302"/>
      <c r="T90" s="302"/>
      <c r="U90" s="302"/>
      <c r="V90" s="302"/>
      <c r="W90" s="302"/>
      <c r="X90" s="303"/>
      <c r="Y90" s="304"/>
      <c r="Z90" s="305"/>
      <c r="AA90" s="305"/>
      <c r="AB90" s="305"/>
      <c r="AC90" s="305"/>
      <c r="AD90" s="306"/>
      <c r="AE90" s="307">
        <f>1*1</f>
        <v>1</v>
      </c>
      <c r="AF90" s="308"/>
      <c r="AG90" s="308"/>
      <c r="AH90" s="309"/>
      <c r="AI90" s="288">
        <f t="shared" si="4"/>
        <v>0</v>
      </c>
      <c r="AJ90" s="289"/>
      <c r="AK90" s="289"/>
      <c r="AL90" s="289"/>
      <c r="AM90" s="289"/>
      <c r="AN90" s="289"/>
      <c r="AO90" s="289"/>
      <c r="AP90" s="289"/>
      <c r="AQ90" s="289"/>
      <c r="AR90" s="290"/>
      <c r="AS90" s="288">
        <f>O90+AI90</f>
        <v>0</v>
      </c>
      <c r="AT90" s="289"/>
      <c r="AU90" s="289"/>
      <c r="AV90" s="289"/>
      <c r="AW90" s="289"/>
      <c r="AX90" s="289"/>
      <c r="AY90" s="289"/>
      <c r="AZ90" s="289"/>
      <c r="BA90" s="289"/>
      <c r="BB90" s="291"/>
    </row>
    <row r="91" spans="2:54" ht="31.5" customHeight="1" thickTop="1" x14ac:dyDescent="0.15">
      <c r="B91" s="96"/>
      <c r="C91" s="292" t="s">
        <v>96</v>
      </c>
      <c r="D91" s="293"/>
      <c r="E91" s="293"/>
      <c r="F91" s="293"/>
      <c r="G91" s="293"/>
      <c r="H91" s="293"/>
      <c r="I91" s="293"/>
      <c r="J91" s="293"/>
      <c r="K91" s="293"/>
      <c r="L91" s="293"/>
      <c r="M91" s="294"/>
      <c r="N91" s="97"/>
      <c r="O91" s="310">
        <f>SUM(O73:X90)</f>
        <v>0</v>
      </c>
      <c r="P91" s="311"/>
      <c r="Q91" s="311"/>
      <c r="R91" s="311"/>
      <c r="S91" s="311"/>
      <c r="T91" s="311"/>
      <c r="U91" s="311"/>
      <c r="V91" s="311"/>
      <c r="W91" s="311"/>
      <c r="X91" s="312"/>
      <c r="Y91" s="313">
        <f>SUM(Y73:AD90)</f>
        <v>0</v>
      </c>
      <c r="Z91" s="314"/>
      <c r="AA91" s="314"/>
      <c r="AB91" s="314"/>
      <c r="AC91" s="314"/>
      <c r="AD91" s="315"/>
      <c r="AE91" s="316"/>
      <c r="AF91" s="317"/>
      <c r="AG91" s="317"/>
      <c r="AH91" s="318"/>
      <c r="AI91" s="295">
        <f>SUM(AI73:AR90)</f>
        <v>0</v>
      </c>
      <c r="AJ91" s="296"/>
      <c r="AK91" s="296"/>
      <c r="AL91" s="296"/>
      <c r="AM91" s="296"/>
      <c r="AN91" s="296"/>
      <c r="AO91" s="296"/>
      <c r="AP91" s="296"/>
      <c r="AQ91" s="296"/>
      <c r="AR91" s="319"/>
      <c r="AS91" s="295">
        <f>SUM(AS73:BB90)</f>
        <v>0</v>
      </c>
      <c r="AT91" s="296"/>
      <c r="AU91" s="296"/>
      <c r="AV91" s="296"/>
      <c r="AW91" s="296"/>
      <c r="AX91" s="296"/>
      <c r="AY91" s="296"/>
      <c r="AZ91" s="296"/>
      <c r="BA91" s="296"/>
      <c r="BB91" s="297"/>
    </row>
    <row r="92" spans="2:54" ht="6" customHeight="1" x14ac:dyDescent="0.15">
      <c r="C92" s="98"/>
      <c r="D92" s="98"/>
      <c r="E92" s="98"/>
      <c r="F92" s="98"/>
      <c r="G92" s="98"/>
      <c r="H92" s="98"/>
      <c r="I92" s="98"/>
      <c r="J92" s="98"/>
      <c r="K92" s="98"/>
      <c r="L92" s="98"/>
      <c r="M92"/>
      <c r="N92"/>
      <c r="O92" s="99"/>
      <c r="P92"/>
      <c r="Q92"/>
      <c r="R92"/>
      <c r="S92"/>
      <c r="T92"/>
      <c r="U92"/>
      <c r="V92"/>
      <c r="W92"/>
      <c r="X92"/>
      <c r="AE92" s="4"/>
      <c r="AF92" s="32"/>
      <c r="AG92" s="32"/>
      <c r="AH92" s="32"/>
      <c r="AI92" s="99"/>
      <c r="AJ92" s="100"/>
      <c r="AK92" s="100"/>
      <c r="AL92" s="100"/>
      <c r="AM92" s="100"/>
      <c r="AN92" s="100"/>
      <c r="AO92" s="100"/>
      <c r="AP92" s="100"/>
      <c r="AQ92" s="100"/>
      <c r="AR92" s="100"/>
      <c r="AS92" s="99"/>
      <c r="AT92" s="100"/>
      <c r="AU92" s="100"/>
      <c r="AV92" s="100"/>
      <c r="AW92" s="100"/>
      <c r="AX92" s="100"/>
      <c r="AY92" s="100"/>
      <c r="AZ92" s="100"/>
      <c r="BA92" s="100"/>
      <c r="BB92" s="100"/>
    </row>
    <row r="93" spans="2:54" ht="13.5" customHeight="1" x14ac:dyDescent="0.15">
      <c r="B93" s="284" t="s">
        <v>97</v>
      </c>
      <c r="C93" s="284"/>
      <c r="D93" s="284"/>
      <c r="E93" s="285" t="s">
        <v>105</v>
      </c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85"/>
      <c r="AG93" s="285"/>
      <c r="AH93" s="285"/>
      <c r="AI93" s="285"/>
      <c r="AJ93" s="285"/>
      <c r="AK93" s="285"/>
      <c r="AL93" s="285"/>
      <c r="AM93" s="285"/>
      <c r="AN93" s="285"/>
      <c r="AO93" s="285"/>
      <c r="AP93" s="285"/>
      <c r="AQ93" s="285"/>
      <c r="AR93" s="285"/>
      <c r="AS93" s="285"/>
      <c r="AT93" s="285"/>
      <c r="AU93" s="285"/>
      <c r="AV93" s="285"/>
      <c r="AW93" s="285"/>
      <c r="AX93" s="285"/>
      <c r="AY93" s="285"/>
      <c r="AZ93" s="285"/>
      <c r="BA93" s="285"/>
      <c r="BB93" s="285"/>
    </row>
    <row r="94" spans="2:54" ht="13.5" customHeight="1" x14ac:dyDescent="0.15">
      <c r="B94" s="101"/>
      <c r="E94" s="285" t="s">
        <v>98</v>
      </c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  <c r="AC94" s="285"/>
      <c r="AD94" s="285"/>
      <c r="AE94" s="285"/>
      <c r="AF94" s="285"/>
      <c r="AG94" s="285"/>
      <c r="AH94" s="285"/>
      <c r="AI94" s="285"/>
      <c r="AJ94" s="285"/>
      <c r="AK94" s="285"/>
      <c r="AL94" s="285"/>
      <c r="AM94" s="285"/>
      <c r="AN94" s="285"/>
      <c r="AO94" s="285"/>
      <c r="AP94" s="285"/>
      <c r="AQ94" s="285"/>
      <c r="AR94" s="285"/>
      <c r="AS94" s="285"/>
      <c r="AT94" s="285"/>
      <c r="AU94" s="285"/>
      <c r="AV94" s="285"/>
      <c r="AW94" s="285"/>
      <c r="AX94" s="285"/>
      <c r="AY94" s="285"/>
      <c r="AZ94" s="285"/>
      <c r="BA94" s="285"/>
      <c r="BB94" s="285"/>
    </row>
  </sheetData>
  <sheetProtection selectLockedCells="1"/>
  <mergeCells count="408">
    <mergeCell ref="AI24:AR24"/>
    <mergeCell ref="Y23:AD23"/>
    <mergeCell ref="AS25:BB25"/>
    <mergeCell ref="C29:M29"/>
    <mergeCell ref="O29:X29"/>
    <mergeCell ref="O24:X24"/>
    <mergeCell ref="AS28:BB28"/>
    <mergeCell ref="AS21:BB21"/>
    <mergeCell ref="AS27:BB27"/>
    <mergeCell ref="Y25:AD25"/>
    <mergeCell ref="Y24:AD24"/>
    <mergeCell ref="AE24:AH24"/>
    <mergeCell ref="AS24:BB24"/>
    <mergeCell ref="C21:M21"/>
    <mergeCell ref="C22:M22"/>
    <mergeCell ref="C23:M23"/>
    <mergeCell ref="C24:M24"/>
    <mergeCell ref="O27:X27"/>
    <mergeCell ref="O23:X23"/>
    <mergeCell ref="O21:X21"/>
    <mergeCell ref="O22:X22"/>
    <mergeCell ref="C27:M27"/>
    <mergeCell ref="AE27:AH27"/>
    <mergeCell ref="AI27:AR27"/>
    <mergeCell ref="AS20:BB20"/>
    <mergeCell ref="AI19:AR19"/>
    <mergeCell ref="AI20:AR20"/>
    <mergeCell ref="Y19:AD19"/>
    <mergeCell ref="AI23:AR23"/>
    <mergeCell ref="AE23:AH23"/>
    <mergeCell ref="AE20:AH20"/>
    <mergeCell ref="AE19:AH19"/>
    <mergeCell ref="AI21:AR21"/>
    <mergeCell ref="AI22:AR22"/>
    <mergeCell ref="AE21:AH21"/>
    <mergeCell ref="AE22:AH22"/>
    <mergeCell ref="Y22:AD22"/>
    <mergeCell ref="Y20:AD20"/>
    <mergeCell ref="Y21:AD21"/>
    <mergeCell ref="AS22:BB22"/>
    <mergeCell ref="O20:X20"/>
    <mergeCell ref="O19:X19"/>
    <mergeCell ref="Y18:AD18"/>
    <mergeCell ref="AS23:BB23"/>
    <mergeCell ref="C26:M26"/>
    <mergeCell ref="O28:X28"/>
    <mergeCell ref="C28:M28"/>
    <mergeCell ref="AI29:AR29"/>
    <mergeCell ref="AI26:AR26"/>
    <mergeCell ref="AE29:AH29"/>
    <mergeCell ref="Y29:AD29"/>
    <mergeCell ref="AE25:AH25"/>
    <mergeCell ref="AI25:AR25"/>
    <mergeCell ref="AE26:AH26"/>
    <mergeCell ref="O25:X25"/>
    <mergeCell ref="C25:M25"/>
    <mergeCell ref="Y28:AD28"/>
    <mergeCell ref="C20:M20"/>
    <mergeCell ref="C18:M18"/>
    <mergeCell ref="C19:M19"/>
    <mergeCell ref="O18:X18"/>
    <mergeCell ref="O26:X26"/>
    <mergeCell ref="AS29:BB29"/>
    <mergeCell ref="AS19:BB19"/>
    <mergeCell ref="AI15:AR15"/>
    <mergeCell ref="AI13:AR13"/>
    <mergeCell ref="AI14:AR14"/>
    <mergeCell ref="AI11:AR11"/>
    <mergeCell ref="AI12:AR12"/>
    <mergeCell ref="AS15:BB15"/>
    <mergeCell ref="AS16:BB16"/>
    <mergeCell ref="AS11:BB11"/>
    <mergeCell ref="AS12:BB12"/>
    <mergeCell ref="AS13:BB13"/>
    <mergeCell ref="AS14:BB14"/>
    <mergeCell ref="AI16:AR16"/>
    <mergeCell ref="AN3:BB3"/>
    <mergeCell ref="X3:AL3"/>
    <mergeCell ref="K6:AD7"/>
    <mergeCell ref="C11:M11"/>
    <mergeCell ref="AI9:AR9"/>
    <mergeCell ref="O8:X9"/>
    <mergeCell ref="O10:X10"/>
    <mergeCell ref="Y8:AR8"/>
    <mergeCell ref="AI10:AR10"/>
    <mergeCell ref="O11:X11"/>
    <mergeCell ref="AE11:AH11"/>
    <mergeCell ref="Y11:AD11"/>
    <mergeCell ref="AS8:BB9"/>
    <mergeCell ref="B5:BB5"/>
    <mergeCell ref="B8:M10"/>
    <mergeCell ref="AE6:AL7"/>
    <mergeCell ref="AM6:BB7"/>
    <mergeCell ref="B6:J7"/>
    <mergeCell ref="Y10:AD10"/>
    <mergeCell ref="AE9:AH9"/>
    <mergeCell ref="Y9:AD9"/>
    <mergeCell ref="AE10:AH10"/>
    <mergeCell ref="AS10:BB10"/>
    <mergeCell ref="AE17:AH17"/>
    <mergeCell ref="Y17:AD17"/>
    <mergeCell ref="AS39:BB40"/>
    <mergeCell ref="Y40:AD40"/>
    <mergeCell ref="B36:BB36"/>
    <mergeCell ref="B37:J38"/>
    <mergeCell ref="K37:AD38"/>
    <mergeCell ref="AE37:AL38"/>
    <mergeCell ref="AM37:BB38"/>
    <mergeCell ref="AE40:AH40"/>
    <mergeCell ref="AI40:AR40"/>
    <mergeCell ref="B39:M41"/>
    <mergeCell ref="O39:X40"/>
    <mergeCell ref="Y39:AR39"/>
    <mergeCell ref="O41:X41"/>
    <mergeCell ref="Y41:AD41"/>
    <mergeCell ref="AE41:AH41"/>
    <mergeCell ref="AI41:AR41"/>
    <mergeCell ref="AS41:BB41"/>
    <mergeCell ref="AS17:BB17"/>
    <mergeCell ref="AS18:BB18"/>
    <mergeCell ref="AI17:AR17"/>
    <mergeCell ref="AI18:AR18"/>
    <mergeCell ref="AE18:AH18"/>
    <mergeCell ref="B31:D31"/>
    <mergeCell ref="E31:BB31"/>
    <mergeCell ref="C12:M12"/>
    <mergeCell ref="C14:M14"/>
    <mergeCell ref="C15:M15"/>
    <mergeCell ref="AE16:AH16"/>
    <mergeCell ref="O12:X12"/>
    <mergeCell ref="O13:X13"/>
    <mergeCell ref="Y12:AD12"/>
    <mergeCell ref="AE12:AH12"/>
    <mergeCell ref="C17:M17"/>
    <mergeCell ref="C13:M13"/>
    <mergeCell ref="Y13:AD13"/>
    <mergeCell ref="O14:X14"/>
    <mergeCell ref="O16:X16"/>
    <mergeCell ref="O15:X15"/>
    <mergeCell ref="Y16:AD16"/>
    <mergeCell ref="O17:X17"/>
    <mergeCell ref="Y14:AD14"/>
    <mergeCell ref="C16:M16"/>
    <mergeCell ref="AE13:AH13"/>
    <mergeCell ref="AE14:AH14"/>
    <mergeCell ref="Y15:AD15"/>
    <mergeCell ref="AE15:AH15"/>
    <mergeCell ref="AI28:AR28"/>
    <mergeCell ref="Y27:AD27"/>
    <mergeCell ref="AE28:AH28"/>
    <mergeCell ref="Y26:AD26"/>
    <mergeCell ref="AS26:BB26"/>
    <mergeCell ref="AI44:AR44"/>
    <mergeCell ref="AS44:BB44"/>
    <mergeCell ref="C43:M43"/>
    <mergeCell ref="O43:X43"/>
    <mergeCell ref="C44:M44"/>
    <mergeCell ref="O44:X44"/>
    <mergeCell ref="Y44:AD44"/>
    <mergeCell ref="AE44:AH44"/>
    <mergeCell ref="Y43:AD43"/>
    <mergeCell ref="AE43:AH43"/>
    <mergeCell ref="AI43:AR43"/>
    <mergeCell ref="AS43:BB43"/>
    <mergeCell ref="AI42:AR42"/>
    <mergeCell ref="AS42:BB42"/>
    <mergeCell ref="C42:M42"/>
    <mergeCell ref="O42:X42"/>
    <mergeCell ref="Y42:AD42"/>
    <mergeCell ref="AE42:AH42"/>
    <mergeCell ref="E32:BB32"/>
    <mergeCell ref="AS45:BB45"/>
    <mergeCell ref="AI46:AR46"/>
    <mergeCell ref="AS46:BB46"/>
    <mergeCell ref="AI48:AR48"/>
    <mergeCell ref="AS48:BB48"/>
    <mergeCell ref="C45:M45"/>
    <mergeCell ref="O45:X45"/>
    <mergeCell ref="Y45:AD45"/>
    <mergeCell ref="AE45:AH45"/>
    <mergeCell ref="AI47:AR47"/>
    <mergeCell ref="AS47:BB47"/>
    <mergeCell ref="C46:M46"/>
    <mergeCell ref="O46:X46"/>
    <mergeCell ref="Y46:AD46"/>
    <mergeCell ref="AE46:AH46"/>
    <mergeCell ref="C47:M47"/>
    <mergeCell ref="O47:X47"/>
    <mergeCell ref="C48:M48"/>
    <mergeCell ref="O48:X48"/>
    <mergeCell ref="Y48:AD48"/>
    <mergeCell ref="AE48:AH48"/>
    <mergeCell ref="Y47:AD47"/>
    <mergeCell ref="AE47:AH47"/>
    <mergeCell ref="AI45:AR45"/>
    <mergeCell ref="AS49:BB49"/>
    <mergeCell ref="AI50:AR50"/>
    <mergeCell ref="AS50:BB50"/>
    <mergeCell ref="AI52:AR52"/>
    <mergeCell ref="AS52:BB52"/>
    <mergeCell ref="C49:M49"/>
    <mergeCell ref="O49:X49"/>
    <mergeCell ref="Y49:AD49"/>
    <mergeCell ref="AE49:AH49"/>
    <mergeCell ref="AI51:AR51"/>
    <mergeCell ref="AS51:BB51"/>
    <mergeCell ref="C50:M50"/>
    <mergeCell ref="O50:X50"/>
    <mergeCell ref="Y50:AD50"/>
    <mergeCell ref="AE50:AH50"/>
    <mergeCell ref="C51:M51"/>
    <mergeCell ref="O51:X51"/>
    <mergeCell ref="C52:M52"/>
    <mergeCell ref="O52:X52"/>
    <mergeCell ref="Y52:AD52"/>
    <mergeCell ref="AE52:AH52"/>
    <mergeCell ref="Y51:AD51"/>
    <mergeCell ref="AE51:AH51"/>
    <mergeCell ref="AI49:AR49"/>
    <mergeCell ref="AS53:BB53"/>
    <mergeCell ref="AI54:AR54"/>
    <mergeCell ref="AS54:BB54"/>
    <mergeCell ref="AI56:AR56"/>
    <mergeCell ref="AS56:BB56"/>
    <mergeCell ref="C53:M53"/>
    <mergeCell ref="O53:X53"/>
    <mergeCell ref="Y53:AD53"/>
    <mergeCell ref="AE53:AH53"/>
    <mergeCell ref="AI55:AR55"/>
    <mergeCell ref="AS55:BB55"/>
    <mergeCell ref="C54:M54"/>
    <mergeCell ref="O54:X54"/>
    <mergeCell ref="Y54:AD54"/>
    <mergeCell ref="AE54:AH54"/>
    <mergeCell ref="C55:M55"/>
    <mergeCell ref="O55:X55"/>
    <mergeCell ref="C56:M56"/>
    <mergeCell ref="O56:X56"/>
    <mergeCell ref="Y56:AD56"/>
    <mergeCell ref="AE56:AH56"/>
    <mergeCell ref="Y55:AD55"/>
    <mergeCell ref="AE55:AH55"/>
    <mergeCell ref="AI53:AR53"/>
    <mergeCell ref="AI57:AR57"/>
    <mergeCell ref="AS57:BB57"/>
    <mergeCell ref="AI58:AR58"/>
    <mergeCell ref="AS58:BB58"/>
    <mergeCell ref="AI60:AR60"/>
    <mergeCell ref="AS60:BB60"/>
    <mergeCell ref="C57:M57"/>
    <mergeCell ref="O57:X57"/>
    <mergeCell ref="Y57:AD57"/>
    <mergeCell ref="AE57:AH57"/>
    <mergeCell ref="AI59:AR59"/>
    <mergeCell ref="AS59:BB59"/>
    <mergeCell ref="C58:M58"/>
    <mergeCell ref="O58:X58"/>
    <mergeCell ref="Y58:AD58"/>
    <mergeCell ref="AE58:AH58"/>
    <mergeCell ref="B62:D62"/>
    <mergeCell ref="E62:BB62"/>
    <mergeCell ref="E63:BB63"/>
    <mergeCell ref="B67:BB67"/>
    <mergeCell ref="B68:J69"/>
    <mergeCell ref="K68:AD69"/>
    <mergeCell ref="AE68:AL69"/>
    <mergeCell ref="AM68:BB69"/>
    <mergeCell ref="C59:M59"/>
    <mergeCell ref="O59:X59"/>
    <mergeCell ref="C60:M60"/>
    <mergeCell ref="O60:X60"/>
    <mergeCell ref="Y60:AD60"/>
    <mergeCell ref="AE60:AH60"/>
    <mergeCell ref="Y59:AD59"/>
    <mergeCell ref="AE59:AH59"/>
    <mergeCell ref="Y70:AR70"/>
    <mergeCell ref="B70:M72"/>
    <mergeCell ref="O70:X71"/>
    <mergeCell ref="AS70:BB71"/>
    <mergeCell ref="C74:M74"/>
    <mergeCell ref="O74:X74"/>
    <mergeCell ref="Y74:AD74"/>
    <mergeCell ref="AE74:AH74"/>
    <mergeCell ref="AI74:AR74"/>
    <mergeCell ref="AS74:BB74"/>
    <mergeCell ref="AS72:BB72"/>
    <mergeCell ref="O73:X73"/>
    <mergeCell ref="Y73:AD73"/>
    <mergeCell ref="AE73:AH73"/>
    <mergeCell ref="AI73:AR73"/>
    <mergeCell ref="AS73:BB73"/>
    <mergeCell ref="Y71:AD71"/>
    <mergeCell ref="AE71:AH71"/>
    <mergeCell ref="AI71:AR71"/>
    <mergeCell ref="O72:X72"/>
    <mergeCell ref="Y72:AD72"/>
    <mergeCell ref="AE72:AH72"/>
    <mergeCell ref="AI72:AR72"/>
    <mergeCell ref="C73:M73"/>
    <mergeCell ref="AI76:AR76"/>
    <mergeCell ref="AS76:BB76"/>
    <mergeCell ref="C75:M75"/>
    <mergeCell ref="O75:X75"/>
    <mergeCell ref="Y75:AD75"/>
    <mergeCell ref="AE75:AH75"/>
    <mergeCell ref="AI75:AR75"/>
    <mergeCell ref="AS75:BB75"/>
    <mergeCell ref="AI77:AR77"/>
    <mergeCell ref="AS77:BB77"/>
    <mergeCell ref="C76:M76"/>
    <mergeCell ref="O76:X76"/>
    <mergeCell ref="C77:M77"/>
    <mergeCell ref="O77:X77"/>
    <mergeCell ref="Y77:AD77"/>
    <mergeCell ref="AE77:AH77"/>
    <mergeCell ref="Y76:AD76"/>
    <mergeCell ref="AE76:AH76"/>
    <mergeCell ref="AS78:BB78"/>
    <mergeCell ref="AI79:AR79"/>
    <mergeCell ref="AS79:BB79"/>
    <mergeCell ref="AI81:AR81"/>
    <mergeCell ref="AS81:BB81"/>
    <mergeCell ref="C78:M78"/>
    <mergeCell ref="O78:X78"/>
    <mergeCell ref="Y78:AD78"/>
    <mergeCell ref="AE78:AH78"/>
    <mergeCell ref="AI80:AR80"/>
    <mergeCell ref="AS80:BB80"/>
    <mergeCell ref="C79:M79"/>
    <mergeCell ref="O79:X79"/>
    <mergeCell ref="Y79:AD79"/>
    <mergeCell ref="AE79:AH79"/>
    <mergeCell ref="C80:M80"/>
    <mergeCell ref="O80:X80"/>
    <mergeCell ref="C81:M81"/>
    <mergeCell ref="O81:X81"/>
    <mergeCell ref="Y81:AD81"/>
    <mergeCell ref="AE81:AH81"/>
    <mergeCell ref="Y80:AD80"/>
    <mergeCell ref="AE80:AH80"/>
    <mergeCell ref="AI78:AR78"/>
    <mergeCell ref="AS82:BB82"/>
    <mergeCell ref="AI83:AR83"/>
    <mergeCell ref="AS83:BB83"/>
    <mergeCell ref="AI85:AR85"/>
    <mergeCell ref="AS85:BB85"/>
    <mergeCell ref="C82:M82"/>
    <mergeCell ref="O82:X82"/>
    <mergeCell ref="Y82:AD82"/>
    <mergeCell ref="AE82:AH82"/>
    <mergeCell ref="AI84:AR84"/>
    <mergeCell ref="AS84:BB84"/>
    <mergeCell ref="C83:M83"/>
    <mergeCell ref="O83:X83"/>
    <mergeCell ref="Y83:AD83"/>
    <mergeCell ref="AE83:AH83"/>
    <mergeCell ref="C84:M84"/>
    <mergeCell ref="O84:X84"/>
    <mergeCell ref="C85:M85"/>
    <mergeCell ref="O85:X85"/>
    <mergeCell ref="Y85:AD85"/>
    <mergeCell ref="AE85:AH85"/>
    <mergeCell ref="Y84:AD84"/>
    <mergeCell ref="AE84:AH84"/>
    <mergeCell ref="AI82:AR82"/>
    <mergeCell ref="C86:M86"/>
    <mergeCell ref="O86:X86"/>
    <mergeCell ref="Y86:AD86"/>
    <mergeCell ref="AE86:AH86"/>
    <mergeCell ref="AI88:AR88"/>
    <mergeCell ref="AS88:BB88"/>
    <mergeCell ref="C87:M87"/>
    <mergeCell ref="O87:X87"/>
    <mergeCell ref="Y87:AD87"/>
    <mergeCell ref="AE87:AH87"/>
    <mergeCell ref="AE89:AH89"/>
    <mergeCell ref="Y88:AD88"/>
    <mergeCell ref="AE88:AH88"/>
    <mergeCell ref="AI86:AR86"/>
    <mergeCell ref="AS86:BB86"/>
    <mergeCell ref="AI87:AR87"/>
    <mergeCell ref="AS87:BB87"/>
    <mergeCell ref="AI89:AR89"/>
    <mergeCell ref="AS89:BB89"/>
    <mergeCell ref="B93:D93"/>
    <mergeCell ref="E93:BB93"/>
    <mergeCell ref="E94:BB94"/>
    <mergeCell ref="X34:AL34"/>
    <mergeCell ref="AN34:BB34"/>
    <mergeCell ref="X65:AL65"/>
    <mergeCell ref="AN65:BB65"/>
    <mergeCell ref="AI90:AR90"/>
    <mergeCell ref="AS90:BB90"/>
    <mergeCell ref="C91:M91"/>
    <mergeCell ref="AS91:BB91"/>
    <mergeCell ref="C90:M90"/>
    <mergeCell ref="O90:X90"/>
    <mergeCell ref="Y90:AD90"/>
    <mergeCell ref="AE90:AH90"/>
    <mergeCell ref="O91:X91"/>
    <mergeCell ref="Y91:AD91"/>
    <mergeCell ref="AE91:AH91"/>
    <mergeCell ref="AI91:AR91"/>
    <mergeCell ref="C88:M88"/>
    <mergeCell ref="O88:X88"/>
    <mergeCell ref="C89:M89"/>
    <mergeCell ref="O89:X89"/>
    <mergeCell ref="Y89:AD89"/>
  </mergeCells>
  <phoneticPr fontId="2"/>
  <dataValidations count="1">
    <dataValidation imeMode="off" allowBlank="1" showInputMessage="1" showErrorMessage="1" sqref="Z42:AD42 Z11:AD11 O11:Y28 O42:Y59 O73:Y90 Z73:AD73" xr:uid="{00000000-0002-0000-0300-000000000000}"/>
  </dataValidations>
  <pageMargins left="0.98425196850393704" right="0.59055118110236227" top="0.59055118110236227" bottom="0.39370078740157483" header="0.39370078740157483" footer="0.39370078740157483"/>
  <pageSetup paperSize="9" orientation="portrait" blackAndWhite="1" r:id="rId1"/>
  <headerFooter alignWithMargins="0">
    <oddHeader>&amp;L&amp;"ＭＳ 明朝,標準"&amp;12別記第５号様式の附表（その２）</oddHeader>
  </headerFooter>
  <rowBreaks count="2" manualBreakCount="2">
    <brk id="32" min="1" max="53" man="1"/>
    <brk id="63" min="1" max="5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0" r:id="rId4" name="Button 4">
              <controlPr defaultSize="0" print="0" autoFill="0" autoPict="0" macro="[0]!データ削除">
                <anchor moveWithCells="1" sizeWithCells="1">
                  <from>
                    <xdr:col>45</xdr:col>
                    <xdr:colOff>85725</xdr:colOff>
                    <xdr:row>4</xdr:row>
                    <xdr:rowOff>28575</xdr:rowOff>
                  </from>
                  <to>
                    <xdr:col>52</xdr:col>
                    <xdr:colOff>104775</xdr:colOff>
                    <xdr:row>4</xdr:row>
                    <xdr:rowOff>428625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2:BV94"/>
  <sheetViews>
    <sheetView showZeros="0" view="pageBreakPreview" topLeftCell="A4" zoomScaleNormal="100" zoomScaleSheetLayoutView="10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O84" sqref="O84:X84"/>
    </sheetView>
  </sheetViews>
  <sheetFormatPr defaultRowHeight="13.5" x14ac:dyDescent="0.15"/>
  <cols>
    <col min="1" max="1" width="1.5" style="129" customWidth="1"/>
    <col min="2" max="2" width="0.875" style="129" customWidth="1"/>
    <col min="3" max="12" width="1.625" style="129" customWidth="1"/>
    <col min="13" max="14" width="0.75" style="129" customWidth="1"/>
    <col min="15" max="106" width="1.625" style="129" customWidth="1"/>
    <col min="107" max="16384" width="9" style="129"/>
  </cols>
  <sheetData>
    <row r="2" spans="2:74" ht="13.5" customHeight="1" x14ac:dyDescent="0.15">
      <c r="Y2" s="130"/>
    </row>
    <row r="3" spans="2:74" ht="13.5" customHeight="1" x14ac:dyDescent="0.15">
      <c r="X3" s="603" t="s">
        <v>54</v>
      </c>
      <c r="Y3" s="603"/>
      <c r="Z3" s="603"/>
      <c r="AA3" s="603"/>
      <c r="AB3" s="603"/>
      <c r="AC3" s="603"/>
      <c r="AD3" s="603"/>
      <c r="AE3" s="603"/>
      <c r="AF3" s="603"/>
      <c r="AG3" s="603"/>
      <c r="AH3" s="603"/>
      <c r="AI3" s="603"/>
      <c r="AJ3" s="603"/>
      <c r="AK3" s="603"/>
      <c r="AL3" s="603"/>
      <c r="AM3" s="131"/>
      <c r="AN3" s="602" t="str">
        <f>納入・納付申告書!$AV$12</f>
        <v>有限会社　オー・エス収集センター</v>
      </c>
      <c r="AO3" s="602"/>
      <c r="AP3" s="602"/>
      <c r="AQ3" s="602"/>
      <c r="AR3" s="602"/>
      <c r="AS3" s="602"/>
      <c r="AT3" s="602"/>
      <c r="AU3" s="602"/>
      <c r="AV3" s="602"/>
      <c r="AW3" s="602"/>
      <c r="AX3" s="602"/>
      <c r="AY3" s="602"/>
      <c r="AZ3" s="602"/>
      <c r="BA3" s="602"/>
      <c r="BB3" s="602"/>
    </row>
    <row r="4" spans="2:74" ht="6.75" customHeight="1" x14ac:dyDescent="0.15"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</row>
    <row r="5" spans="2:74" ht="40.5" customHeight="1" x14ac:dyDescent="0.2">
      <c r="B5" s="618" t="s">
        <v>70</v>
      </c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  <c r="AS5" s="619"/>
      <c r="AT5" s="619"/>
      <c r="AU5" s="619"/>
      <c r="AV5" s="619"/>
      <c r="AW5" s="619"/>
      <c r="AX5" s="619"/>
      <c r="AY5" s="619"/>
      <c r="AZ5" s="619"/>
      <c r="BA5" s="619"/>
      <c r="BB5" s="620"/>
    </row>
    <row r="6" spans="2:74" ht="15" customHeight="1" x14ac:dyDescent="0.15">
      <c r="B6" s="591" t="s">
        <v>9</v>
      </c>
      <c r="C6" s="592"/>
      <c r="D6" s="592"/>
      <c r="E6" s="592"/>
      <c r="F6" s="592"/>
      <c r="G6" s="592"/>
      <c r="H6" s="592"/>
      <c r="I6" s="592"/>
      <c r="J6" s="592"/>
      <c r="K6" s="604" t="str">
        <f>納入・納付申告書!CB43&amp;"分"</f>
        <v>令和7年4月分</v>
      </c>
      <c r="L6" s="605"/>
      <c r="M6" s="605"/>
      <c r="N6" s="605"/>
      <c r="O6" s="605"/>
      <c r="P6" s="605"/>
      <c r="Q6" s="605"/>
      <c r="R6" s="605"/>
      <c r="S6" s="605"/>
      <c r="T6" s="605"/>
      <c r="U6" s="605"/>
      <c r="V6" s="605"/>
      <c r="W6" s="605"/>
      <c r="X6" s="605"/>
      <c r="Y6" s="605"/>
      <c r="Z6" s="605"/>
      <c r="AA6" s="605"/>
      <c r="AB6" s="605"/>
      <c r="AC6" s="605"/>
      <c r="AD6" s="606"/>
      <c r="AE6" s="621" t="s">
        <v>71</v>
      </c>
      <c r="AF6" s="621"/>
      <c r="AG6" s="621"/>
      <c r="AH6" s="621"/>
      <c r="AI6" s="621"/>
      <c r="AJ6" s="621"/>
      <c r="AK6" s="621"/>
      <c r="AL6" s="621"/>
      <c r="AM6" s="592" t="s">
        <v>72</v>
      </c>
      <c r="AN6" s="592"/>
      <c r="AO6" s="592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623"/>
      <c r="BV6" s="129" t="s">
        <v>68</v>
      </c>
    </row>
    <row r="7" spans="2:74" ht="15" customHeight="1" x14ac:dyDescent="0.15">
      <c r="B7" s="593"/>
      <c r="C7" s="585"/>
      <c r="D7" s="585"/>
      <c r="E7" s="585"/>
      <c r="F7" s="585"/>
      <c r="G7" s="585"/>
      <c r="H7" s="585"/>
      <c r="I7" s="585"/>
      <c r="J7" s="585"/>
      <c r="K7" s="607"/>
      <c r="L7" s="608"/>
      <c r="M7" s="608"/>
      <c r="N7" s="608"/>
      <c r="O7" s="608"/>
      <c r="P7" s="608"/>
      <c r="Q7" s="608"/>
      <c r="R7" s="608"/>
      <c r="S7" s="608"/>
      <c r="T7" s="608"/>
      <c r="U7" s="608"/>
      <c r="V7" s="608"/>
      <c r="W7" s="608"/>
      <c r="X7" s="608"/>
      <c r="Y7" s="608"/>
      <c r="Z7" s="608"/>
      <c r="AA7" s="608"/>
      <c r="AB7" s="608"/>
      <c r="AC7" s="608"/>
      <c r="AD7" s="609"/>
      <c r="AE7" s="622"/>
      <c r="AF7" s="622"/>
      <c r="AG7" s="622"/>
      <c r="AH7" s="622"/>
      <c r="AI7" s="622"/>
      <c r="AJ7" s="622"/>
      <c r="AK7" s="622"/>
      <c r="AL7" s="622"/>
      <c r="AM7" s="585"/>
      <c r="AN7" s="585"/>
      <c r="AO7" s="585"/>
      <c r="AP7" s="585"/>
      <c r="AQ7" s="585"/>
      <c r="AR7" s="585"/>
      <c r="AS7" s="585"/>
      <c r="AT7" s="585"/>
      <c r="AU7" s="585"/>
      <c r="AV7" s="585"/>
      <c r="AW7" s="585"/>
      <c r="AX7" s="585"/>
      <c r="AY7" s="585"/>
      <c r="AZ7" s="585"/>
      <c r="BA7" s="585"/>
      <c r="BB7" s="624"/>
    </row>
    <row r="8" spans="2:74" ht="13.5" customHeight="1" x14ac:dyDescent="0.15">
      <c r="B8" s="598" t="s">
        <v>73</v>
      </c>
      <c r="C8" s="599"/>
      <c r="D8" s="599"/>
      <c r="E8" s="599"/>
      <c r="F8" s="599"/>
      <c r="G8" s="599"/>
      <c r="H8" s="599"/>
      <c r="I8" s="599"/>
      <c r="J8" s="599"/>
      <c r="K8" s="599"/>
      <c r="L8" s="599"/>
      <c r="M8" s="600"/>
      <c r="N8" s="134"/>
      <c r="O8" s="612" t="s">
        <v>74</v>
      </c>
      <c r="P8" s="610"/>
      <c r="Q8" s="610"/>
      <c r="R8" s="610"/>
      <c r="S8" s="610"/>
      <c r="T8" s="610"/>
      <c r="U8" s="610"/>
      <c r="V8" s="610"/>
      <c r="W8" s="610"/>
      <c r="X8" s="611"/>
      <c r="Y8" s="588" t="s">
        <v>75</v>
      </c>
      <c r="Z8" s="589"/>
      <c r="AA8" s="589"/>
      <c r="AB8" s="589"/>
      <c r="AC8" s="589"/>
      <c r="AD8" s="589"/>
      <c r="AE8" s="589"/>
      <c r="AF8" s="589"/>
      <c r="AG8" s="589"/>
      <c r="AH8" s="589"/>
      <c r="AI8" s="589"/>
      <c r="AJ8" s="589"/>
      <c r="AK8" s="589"/>
      <c r="AL8" s="589"/>
      <c r="AM8" s="589"/>
      <c r="AN8" s="589"/>
      <c r="AO8" s="589"/>
      <c r="AP8" s="589"/>
      <c r="AQ8" s="589"/>
      <c r="AR8" s="590"/>
      <c r="AS8" s="612" t="s">
        <v>76</v>
      </c>
      <c r="AT8" s="613"/>
      <c r="AU8" s="613"/>
      <c r="AV8" s="613"/>
      <c r="AW8" s="613"/>
      <c r="AX8" s="613"/>
      <c r="AY8" s="613"/>
      <c r="AZ8" s="613"/>
      <c r="BA8" s="613"/>
      <c r="BB8" s="614"/>
    </row>
    <row r="9" spans="2:74" x14ac:dyDescent="0.15">
      <c r="B9" s="601"/>
      <c r="C9" s="599"/>
      <c r="D9" s="599"/>
      <c r="E9" s="599"/>
      <c r="F9" s="599"/>
      <c r="G9" s="599"/>
      <c r="H9" s="599"/>
      <c r="I9" s="599"/>
      <c r="J9" s="599"/>
      <c r="K9" s="599"/>
      <c r="L9" s="599"/>
      <c r="M9" s="600"/>
      <c r="N9" s="135"/>
      <c r="O9" s="625"/>
      <c r="P9" s="626"/>
      <c r="Q9" s="626"/>
      <c r="R9" s="626"/>
      <c r="S9" s="626"/>
      <c r="T9" s="626"/>
      <c r="U9" s="626"/>
      <c r="V9" s="626"/>
      <c r="W9" s="626"/>
      <c r="X9" s="627"/>
      <c r="Y9" s="594" t="s">
        <v>77</v>
      </c>
      <c r="Z9" s="610"/>
      <c r="AA9" s="610"/>
      <c r="AB9" s="610"/>
      <c r="AC9" s="610"/>
      <c r="AD9" s="611"/>
      <c r="AE9" s="594" t="s">
        <v>78</v>
      </c>
      <c r="AF9" s="595"/>
      <c r="AG9" s="596"/>
      <c r="AH9" s="597"/>
      <c r="AI9" s="594" t="s">
        <v>79</v>
      </c>
      <c r="AJ9" s="595"/>
      <c r="AK9" s="596"/>
      <c r="AL9" s="596"/>
      <c r="AM9" s="596"/>
      <c r="AN9" s="596"/>
      <c r="AO9" s="596"/>
      <c r="AP9" s="596"/>
      <c r="AQ9" s="596"/>
      <c r="AR9" s="597"/>
      <c r="AS9" s="615"/>
      <c r="AT9" s="538"/>
      <c r="AU9" s="538"/>
      <c r="AV9" s="538"/>
      <c r="AW9" s="538"/>
      <c r="AX9" s="538"/>
      <c r="AY9" s="538"/>
      <c r="AZ9" s="538"/>
      <c r="BA9" s="538"/>
      <c r="BB9" s="616"/>
    </row>
    <row r="10" spans="2:74" ht="13.5" customHeight="1" x14ac:dyDescent="0.15">
      <c r="B10" s="601"/>
      <c r="C10" s="599"/>
      <c r="D10" s="599"/>
      <c r="E10" s="599"/>
      <c r="F10" s="599"/>
      <c r="G10" s="599"/>
      <c r="H10" s="599"/>
      <c r="I10" s="599"/>
      <c r="J10" s="599"/>
      <c r="K10" s="599"/>
      <c r="L10" s="599"/>
      <c r="M10" s="600"/>
      <c r="N10" s="135"/>
      <c r="O10" s="584" t="s">
        <v>64</v>
      </c>
      <c r="P10" s="586"/>
      <c r="Q10" s="586"/>
      <c r="R10" s="586"/>
      <c r="S10" s="586"/>
      <c r="T10" s="586"/>
      <c r="U10" s="586"/>
      <c r="V10" s="586"/>
      <c r="W10" s="586"/>
      <c r="X10" s="587"/>
      <c r="Y10" s="584" t="s">
        <v>99</v>
      </c>
      <c r="Z10" s="586"/>
      <c r="AA10" s="586"/>
      <c r="AB10" s="586"/>
      <c r="AC10" s="586"/>
      <c r="AD10" s="587"/>
      <c r="AE10" s="584" t="s">
        <v>100</v>
      </c>
      <c r="AF10" s="585"/>
      <c r="AG10" s="586"/>
      <c r="AH10" s="587"/>
      <c r="AI10" s="584" t="s">
        <v>101</v>
      </c>
      <c r="AJ10" s="585"/>
      <c r="AK10" s="586"/>
      <c r="AL10" s="586"/>
      <c r="AM10" s="586"/>
      <c r="AN10" s="586"/>
      <c r="AO10" s="586"/>
      <c r="AP10" s="586"/>
      <c r="AQ10" s="586"/>
      <c r="AR10" s="587"/>
      <c r="AS10" s="584" t="s">
        <v>102</v>
      </c>
      <c r="AT10" s="586"/>
      <c r="AU10" s="586"/>
      <c r="AV10" s="586"/>
      <c r="AW10" s="586"/>
      <c r="AX10" s="586"/>
      <c r="AY10" s="586"/>
      <c r="AZ10" s="586"/>
      <c r="BA10" s="586"/>
      <c r="BB10" s="617"/>
    </row>
    <row r="11" spans="2:74" ht="31.5" customHeight="1" x14ac:dyDescent="0.15">
      <c r="B11" s="136"/>
      <c r="C11" s="543" t="s">
        <v>80</v>
      </c>
      <c r="D11" s="544"/>
      <c r="E11" s="544"/>
      <c r="F11" s="544"/>
      <c r="G11" s="544"/>
      <c r="H11" s="544"/>
      <c r="I11" s="544"/>
      <c r="J11" s="544"/>
      <c r="K11" s="544"/>
      <c r="L11" s="544"/>
      <c r="M11" s="545"/>
      <c r="N11" s="137"/>
      <c r="O11" s="551"/>
      <c r="P11" s="628"/>
      <c r="Q11" s="628"/>
      <c r="R11" s="628"/>
      <c r="S11" s="628"/>
      <c r="T11" s="628"/>
      <c r="U11" s="628"/>
      <c r="V11" s="628"/>
      <c r="W11" s="628"/>
      <c r="X11" s="629"/>
      <c r="Y11" s="540"/>
      <c r="Z11" s="541"/>
      <c r="AA11" s="541"/>
      <c r="AB11" s="541"/>
      <c r="AC11" s="541"/>
      <c r="AD11" s="542"/>
      <c r="AE11" s="560">
        <f>委附表2!AE11</f>
        <v>1.1399999999999999</v>
      </c>
      <c r="AF11" s="561"/>
      <c r="AG11" s="561"/>
      <c r="AH11" s="562"/>
      <c r="AI11" s="575">
        <f>ROUNDDOWN(ROUNDDOWN(Y11,3)*AE11,5)</f>
        <v>0</v>
      </c>
      <c r="AJ11" s="576"/>
      <c r="AK11" s="576"/>
      <c r="AL11" s="576"/>
      <c r="AM11" s="576"/>
      <c r="AN11" s="576"/>
      <c r="AO11" s="576"/>
      <c r="AP11" s="576"/>
      <c r="AQ11" s="576"/>
      <c r="AR11" s="577"/>
      <c r="AS11" s="575">
        <f>O11+AI11</f>
        <v>0</v>
      </c>
      <c r="AT11" s="576"/>
      <c r="AU11" s="576"/>
      <c r="AV11" s="576"/>
      <c r="AW11" s="576"/>
      <c r="AX11" s="576"/>
      <c r="AY11" s="576"/>
      <c r="AZ11" s="576"/>
      <c r="BA11" s="576"/>
      <c r="BB11" s="579"/>
    </row>
    <row r="12" spans="2:74" ht="31.5" customHeight="1" x14ac:dyDescent="0.15">
      <c r="B12" s="136"/>
      <c r="C12" s="543" t="s">
        <v>81</v>
      </c>
      <c r="D12" s="544"/>
      <c r="E12" s="544"/>
      <c r="F12" s="544"/>
      <c r="G12" s="544"/>
      <c r="H12" s="544"/>
      <c r="I12" s="544"/>
      <c r="J12" s="544"/>
      <c r="K12" s="544"/>
      <c r="L12" s="544"/>
      <c r="M12" s="545"/>
      <c r="N12" s="137"/>
      <c r="O12" s="551"/>
      <c r="P12" s="552"/>
      <c r="Q12" s="552"/>
      <c r="R12" s="552"/>
      <c r="S12" s="552"/>
      <c r="T12" s="552"/>
      <c r="U12" s="552"/>
      <c r="V12" s="552"/>
      <c r="W12" s="552"/>
      <c r="X12" s="553"/>
      <c r="Y12" s="540"/>
      <c r="Z12" s="541"/>
      <c r="AA12" s="541"/>
      <c r="AB12" s="541"/>
      <c r="AC12" s="541"/>
      <c r="AD12" s="542"/>
      <c r="AE12" s="560">
        <f>委附表2!AE12</f>
        <v>1.1000000000000001</v>
      </c>
      <c r="AF12" s="561"/>
      <c r="AG12" s="561"/>
      <c r="AH12" s="562"/>
      <c r="AI12" s="575">
        <f t="shared" ref="AI12:AI28" si="0">ROUNDDOWN(ROUNDDOWN(Y12,3)*AE12,5)</f>
        <v>0</v>
      </c>
      <c r="AJ12" s="576"/>
      <c r="AK12" s="576"/>
      <c r="AL12" s="576"/>
      <c r="AM12" s="576"/>
      <c r="AN12" s="576"/>
      <c r="AO12" s="576"/>
      <c r="AP12" s="576"/>
      <c r="AQ12" s="576"/>
      <c r="AR12" s="577"/>
      <c r="AS12" s="575">
        <f t="shared" ref="AS12:AS27" si="1">O12+AI12</f>
        <v>0</v>
      </c>
      <c r="AT12" s="576"/>
      <c r="AU12" s="576"/>
      <c r="AV12" s="576"/>
      <c r="AW12" s="576"/>
      <c r="AX12" s="576"/>
      <c r="AY12" s="576"/>
      <c r="AZ12" s="576"/>
      <c r="BA12" s="576"/>
      <c r="BB12" s="579"/>
    </row>
    <row r="13" spans="2:74" ht="31.5" customHeight="1" x14ac:dyDescent="0.15">
      <c r="B13" s="136"/>
      <c r="C13" s="543" t="s">
        <v>82</v>
      </c>
      <c r="D13" s="544"/>
      <c r="E13" s="544"/>
      <c r="F13" s="544"/>
      <c r="G13" s="544"/>
      <c r="H13" s="544"/>
      <c r="I13" s="544"/>
      <c r="J13" s="544"/>
      <c r="K13" s="544"/>
      <c r="L13" s="544"/>
      <c r="M13" s="545"/>
      <c r="N13" s="137"/>
      <c r="O13" s="551"/>
      <c r="P13" s="552"/>
      <c r="Q13" s="552"/>
      <c r="R13" s="552"/>
      <c r="S13" s="552"/>
      <c r="T13" s="552"/>
      <c r="U13" s="552"/>
      <c r="V13" s="552"/>
      <c r="W13" s="552"/>
      <c r="X13" s="553"/>
      <c r="Y13" s="540"/>
      <c r="Z13" s="541"/>
      <c r="AA13" s="541"/>
      <c r="AB13" s="541"/>
      <c r="AC13" s="541"/>
      <c r="AD13" s="542"/>
      <c r="AE13" s="560">
        <f>委附表2!AE13</f>
        <v>0.9</v>
      </c>
      <c r="AF13" s="561"/>
      <c r="AG13" s="561"/>
      <c r="AH13" s="562"/>
      <c r="AI13" s="575">
        <f t="shared" si="0"/>
        <v>0</v>
      </c>
      <c r="AJ13" s="576"/>
      <c r="AK13" s="576"/>
      <c r="AL13" s="576"/>
      <c r="AM13" s="576"/>
      <c r="AN13" s="576"/>
      <c r="AO13" s="576"/>
      <c r="AP13" s="576"/>
      <c r="AQ13" s="576"/>
      <c r="AR13" s="577"/>
      <c r="AS13" s="575">
        <f t="shared" si="1"/>
        <v>0</v>
      </c>
      <c r="AT13" s="576"/>
      <c r="AU13" s="576"/>
      <c r="AV13" s="576"/>
      <c r="AW13" s="576"/>
      <c r="AX13" s="576"/>
      <c r="AY13" s="576"/>
      <c r="AZ13" s="576"/>
      <c r="BA13" s="576"/>
      <c r="BB13" s="579"/>
    </row>
    <row r="14" spans="2:74" ht="31.5" customHeight="1" x14ac:dyDescent="0.15">
      <c r="B14" s="136"/>
      <c r="C14" s="543" t="s">
        <v>83</v>
      </c>
      <c r="D14" s="544"/>
      <c r="E14" s="544"/>
      <c r="F14" s="544"/>
      <c r="G14" s="544"/>
      <c r="H14" s="544"/>
      <c r="I14" s="544"/>
      <c r="J14" s="544"/>
      <c r="K14" s="544"/>
      <c r="L14" s="544"/>
      <c r="M14" s="545"/>
      <c r="N14" s="137"/>
      <c r="O14" s="551"/>
      <c r="P14" s="552"/>
      <c r="Q14" s="552"/>
      <c r="R14" s="552"/>
      <c r="S14" s="552"/>
      <c r="T14" s="552"/>
      <c r="U14" s="552"/>
      <c r="V14" s="552"/>
      <c r="W14" s="552"/>
      <c r="X14" s="553"/>
      <c r="Y14" s="540"/>
      <c r="Z14" s="541"/>
      <c r="AA14" s="541"/>
      <c r="AB14" s="541"/>
      <c r="AC14" s="541"/>
      <c r="AD14" s="542"/>
      <c r="AE14" s="560">
        <f>委附表2!AE14</f>
        <v>0.35</v>
      </c>
      <c r="AF14" s="561"/>
      <c r="AG14" s="561"/>
      <c r="AH14" s="562"/>
      <c r="AI14" s="575">
        <f t="shared" si="0"/>
        <v>0</v>
      </c>
      <c r="AJ14" s="576"/>
      <c r="AK14" s="576"/>
      <c r="AL14" s="576"/>
      <c r="AM14" s="576"/>
      <c r="AN14" s="576"/>
      <c r="AO14" s="576"/>
      <c r="AP14" s="576"/>
      <c r="AQ14" s="576"/>
      <c r="AR14" s="577"/>
      <c r="AS14" s="575">
        <f t="shared" si="1"/>
        <v>0</v>
      </c>
      <c r="AT14" s="576"/>
      <c r="AU14" s="576"/>
      <c r="AV14" s="576"/>
      <c r="AW14" s="576"/>
      <c r="AX14" s="576"/>
      <c r="AY14" s="576"/>
      <c r="AZ14" s="576"/>
      <c r="BA14" s="576"/>
      <c r="BB14" s="579"/>
    </row>
    <row r="15" spans="2:74" ht="31.5" customHeight="1" x14ac:dyDescent="0.15">
      <c r="B15" s="136"/>
      <c r="C15" s="543" t="s">
        <v>84</v>
      </c>
      <c r="D15" s="544"/>
      <c r="E15" s="544"/>
      <c r="F15" s="544"/>
      <c r="G15" s="544"/>
      <c r="H15" s="544"/>
      <c r="I15" s="544"/>
      <c r="J15" s="544"/>
      <c r="K15" s="544"/>
      <c r="L15" s="544"/>
      <c r="M15" s="545"/>
      <c r="N15" s="137"/>
      <c r="O15" s="551"/>
      <c r="P15" s="552"/>
      <c r="Q15" s="552"/>
      <c r="R15" s="552"/>
      <c r="S15" s="552"/>
      <c r="T15" s="552"/>
      <c r="U15" s="552"/>
      <c r="V15" s="552"/>
      <c r="W15" s="552"/>
      <c r="X15" s="553"/>
      <c r="Y15" s="540"/>
      <c r="Z15" s="541"/>
      <c r="AA15" s="541"/>
      <c r="AB15" s="541"/>
      <c r="AC15" s="541"/>
      <c r="AD15" s="542"/>
      <c r="AE15" s="560">
        <f>委附表2!AE15</f>
        <v>0.3</v>
      </c>
      <c r="AF15" s="561"/>
      <c r="AG15" s="561"/>
      <c r="AH15" s="562"/>
      <c r="AI15" s="575">
        <f t="shared" si="0"/>
        <v>0</v>
      </c>
      <c r="AJ15" s="576"/>
      <c r="AK15" s="576"/>
      <c r="AL15" s="576"/>
      <c r="AM15" s="576"/>
      <c r="AN15" s="576"/>
      <c r="AO15" s="576"/>
      <c r="AP15" s="576"/>
      <c r="AQ15" s="576"/>
      <c r="AR15" s="577"/>
      <c r="AS15" s="575">
        <f t="shared" si="1"/>
        <v>0</v>
      </c>
      <c r="AT15" s="576"/>
      <c r="AU15" s="576"/>
      <c r="AV15" s="576"/>
      <c r="AW15" s="576"/>
      <c r="AX15" s="576"/>
      <c r="AY15" s="576"/>
      <c r="AZ15" s="576"/>
      <c r="BA15" s="576"/>
      <c r="BB15" s="579"/>
    </row>
    <row r="16" spans="2:74" ht="31.5" customHeight="1" x14ac:dyDescent="0.15">
      <c r="B16" s="136"/>
      <c r="C16" s="543" t="s">
        <v>85</v>
      </c>
      <c r="D16" s="544"/>
      <c r="E16" s="544"/>
      <c r="F16" s="544"/>
      <c r="G16" s="544"/>
      <c r="H16" s="544"/>
      <c r="I16" s="544"/>
      <c r="J16" s="544"/>
      <c r="K16" s="544"/>
      <c r="L16" s="544"/>
      <c r="M16" s="545"/>
      <c r="N16" s="137"/>
      <c r="O16" s="551"/>
      <c r="P16" s="552"/>
      <c r="Q16" s="552"/>
      <c r="R16" s="552"/>
      <c r="S16" s="552"/>
      <c r="T16" s="552"/>
      <c r="U16" s="552"/>
      <c r="V16" s="552"/>
      <c r="W16" s="552"/>
      <c r="X16" s="553"/>
      <c r="Y16" s="540"/>
      <c r="Z16" s="541"/>
      <c r="AA16" s="541"/>
      <c r="AB16" s="541"/>
      <c r="AC16" s="541"/>
      <c r="AD16" s="542"/>
      <c r="AE16" s="560">
        <f>委附表2!AE16</f>
        <v>0.55000000000000004</v>
      </c>
      <c r="AF16" s="561"/>
      <c r="AG16" s="561"/>
      <c r="AH16" s="562"/>
      <c r="AI16" s="575">
        <f t="shared" si="0"/>
        <v>0</v>
      </c>
      <c r="AJ16" s="576"/>
      <c r="AK16" s="576"/>
      <c r="AL16" s="576"/>
      <c r="AM16" s="576"/>
      <c r="AN16" s="576"/>
      <c r="AO16" s="576"/>
      <c r="AP16" s="576"/>
      <c r="AQ16" s="576"/>
      <c r="AR16" s="577"/>
      <c r="AS16" s="575">
        <f t="shared" si="1"/>
        <v>0</v>
      </c>
      <c r="AT16" s="576"/>
      <c r="AU16" s="576"/>
      <c r="AV16" s="576"/>
      <c r="AW16" s="576"/>
      <c r="AX16" s="576"/>
      <c r="AY16" s="576"/>
      <c r="AZ16" s="576"/>
      <c r="BA16" s="576"/>
      <c r="BB16" s="579"/>
    </row>
    <row r="17" spans="2:54" ht="31.5" customHeight="1" x14ac:dyDescent="0.15">
      <c r="B17" s="136"/>
      <c r="C17" s="543" t="s">
        <v>86</v>
      </c>
      <c r="D17" s="544"/>
      <c r="E17" s="544"/>
      <c r="F17" s="544"/>
      <c r="G17" s="544"/>
      <c r="H17" s="544"/>
      <c r="I17" s="544"/>
      <c r="J17" s="544"/>
      <c r="K17" s="544"/>
      <c r="L17" s="544"/>
      <c r="M17" s="545"/>
      <c r="N17" s="137"/>
      <c r="O17" s="551"/>
      <c r="P17" s="552"/>
      <c r="Q17" s="552"/>
      <c r="R17" s="552"/>
      <c r="S17" s="552"/>
      <c r="T17" s="552"/>
      <c r="U17" s="552"/>
      <c r="V17" s="552"/>
      <c r="W17" s="552"/>
      <c r="X17" s="553"/>
      <c r="Y17" s="540"/>
      <c r="Z17" s="541"/>
      <c r="AA17" s="541"/>
      <c r="AB17" s="541"/>
      <c r="AC17" s="541"/>
      <c r="AD17" s="542"/>
      <c r="AE17" s="560">
        <f>委附表2!AE17</f>
        <v>0.12</v>
      </c>
      <c r="AF17" s="561"/>
      <c r="AG17" s="561"/>
      <c r="AH17" s="562"/>
      <c r="AI17" s="575">
        <f t="shared" si="0"/>
        <v>0</v>
      </c>
      <c r="AJ17" s="576"/>
      <c r="AK17" s="576"/>
      <c r="AL17" s="576"/>
      <c r="AM17" s="576"/>
      <c r="AN17" s="576"/>
      <c r="AO17" s="576"/>
      <c r="AP17" s="576"/>
      <c r="AQ17" s="576"/>
      <c r="AR17" s="577"/>
      <c r="AS17" s="575">
        <f t="shared" si="1"/>
        <v>0</v>
      </c>
      <c r="AT17" s="576"/>
      <c r="AU17" s="576"/>
      <c r="AV17" s="576"/>
      <c r="AW17" s="576"/>
      <c r="AX17" s="576"/>
      <c r="AY17" s="576"/>
      <c r="AZ17" s="576"/>
      <c r="BA17" s="576"/>
      <c r="BB17" s="579"/>
    </row>
    <row r="18" spans="2:54" ht="31.5" customHeight="1" x14ac:dyDescent="0.15">
      <c r="B18" s="136"/>
      <c r="C18" s="546" t="s">
        <v>87</v>
      </c>
      <c r="D18" s="546"/>
      <c r="E18" s="546"/>
      <c r="F18" s="546"/>
      <c r="G18" s="546"/>
      <c r="H18" s="546"/>
      <c r="I18" s="546"/>
      <c r="J18" s="546"/>
      <c r="K18" s="546"/>
      <c r="L18" s="546"/>
      <c r="M18" s="547"/>
      <c r="N18" s="137"/>
      <c r="O18" s="551"/>
      <c r="P18" s="552"/>
      <c r="Q18" s="552"/>
      <c r="R18" s="552"/>
      <c r="S18" s="552"/>
      <c r="T18" s="552"/>
      <c r="U18" s="552"/>
      <c r="V18" s="552"/>
      <c r="W18" s="552"/>
      <c r="X18" s="553"/>
      <c r="Y18" s="540"/>
      <c r="Z18" s="541"/>
      <c r="AA18" s="541"/>
      <c r="AB18" s="541"/>
      <c r="AC18" s="541"/>
      <c r="AD18" s="542"/>
      <c r="AE18" s="560">
        <f>委附表2!AE18</f>
        <v>1</v>
      </c>
      <c r="AF18" s="561"/>
      <c r="AG18" s="561"/>
      <c r="AH18" s="562"/>
      <c r="AI18" s="575">
        <f t="shared" si="0"/>
        <v>0</v>
      </c>
      <c r="AJ18" s="576"/>
      <c r="AK18" s="576"/>
      <c r="AL18" s="576"/>
      <c r="AM18" s="576"/>
      <c r="AN18" s="576"/>
      <c r="AO18" s="576"/>
      <c r="AP18" s="576"/>
      <c r="AQ18" s="576"/>
      <c r="AR18" s="577"/>
      <c r="AS18" s="575">
        <f t="shared" si="1"/>
        <v>0</v>
      </c>
      <c r="AT18" s="576"/>
      <c r="AU18" s="576"/>
      <c r="AV18" s="576"/>
      <c r="AW18" s="576"/>
      <c r="AX18" s="576"/>
      <c r="AY18" s="576"/>
      <c r="AZ18" s="576"/>
      <c r="BA18" s="576"/>
      <c r="BB18" s="579"/>
    </row>
    <row r="19" spans="2:54" ht="31.5" customHeight="1" x14ac:dyDescent="0.15">
      <c r="B19" s="136"/>
      <c r="C19" s="548" t="s">
        <v>88</v>
      </c>
      <c r="D19" s="549"/>
      <c r="E19" s="549"/>
      <c r="F19" s="549"/>
      <c r="G19" s="549"/>
      <c r="H19" s="549"/>
      <c r="I19" s="549"/>
      <c r="J19" s="549"/>
      <c r="K19" s="549"/>
      <c r="L19" s="549"/>
      <c r="M19" s="550"/>
      <c r="N19" s="137"/>
      <c r="O19" s="551"/>
      <c r="P19" s="552"/>
      <c r="Q19" s="552"/>
      <c r="R19" s="552"/>
      <c r="S19" s="552"/>
      <c r="T19" s="552"/>
      <c r="U19" s="552"/>
      <c r="V19" s="552"/>
      <c r="W19" s="552"/>
      <c r="X19" s="553"/>
      <c r="Y19" s="540"/>
      <c r="Z19" s="541"/>
      <c r="AA19" s="541"/>
      <c r="AB19" s="541"/>
      <c r="AC19" s="541"/>
      <c r="AD19" s="542"/>
      <c r="AE19" s="560">
        <f>委附表2!AE19</f>
        <v>1</v>
      </c>
      <c r="AF19" s="561"/>
      <c r="AG19" s="561"/>
      <c r="AH19" s="562"/>
      <c r="AI19" s="575">
        <f t="shared" si="0"/>
        <v>0</v>
      </c>
      <c r="AJ19" s="576"/>
      <c r="AK19" s="576"/>
      <c r="AL19" s="576"/>
      <c r="AM19" s="576"/>
      <c r="AN19" s="576"/>
      <c r="AO19" s="576"/>
      <c r="AP19" s="576"/>
      <c r="AQ19" s="576"/>
      <c r="AR19" s="577"/>
      <c r="AS19" s="575">
        <f t="shared" si="1"/>
        <v>0</v>
      </c>
      <c r="AT19" s="576"/>
      <c r="AU19" s="576"/>
      <c r="AV19" s="576"/>
      <c r="AW19" s="576"/>
      <c r="AX19" s="576"/>
      <c r="AY19" s="576"/>
      <c r="AZ19" s="576"/>
      <c r="BA19" s="576"/>
      <c r="BB19" s="579"/>
    </row>
    <row r="20" spans="2:54" ht="31.5" customHeight="1" x14ac:dyDescent="0.15">
      <c r="B20" s="136"/>
      <c r="C20" s="543" t="s">
        <v>103</v>
      </c>
      <c r="D20" s="544"/>
      <c r="E20" s="544"/>
      <c r="F20" s="544"/>
      <c r="G20" s="544"/>
      <c r="H20" s="544"/>
      <c r="I20" s="544"/>
      <c r="J20" s="544"/>
      <c r="K20" s="544"/>
      <c r="L20" s="544"/>
      <c r="M20" s="545"/>
      <c r="N20" s="137"/>
      <c r="O20" s="551"/>
      <c r="P20" s="552"/>
      <c r="Q20" s="552"/>
      <c r="R20" s="552"/>
      <c r="S20" s="552"/>
      <c r="T20" s="552"/>
      <c r="U20" s="552"/>
      <c r="V20" s="552"/>
      <c r="W20" s="552"/>
      <c r="X20" s="553"/>
      <c r="Y20" s="540"/>
      <c r="Z20" s="541"/>
      <c r="AA20" s="541"/>
      <c r="AB20" s="541"/>
      <c r="AC20" s="541"/>
      <c r="AD20" s="542"/>
      <c r="AE20" s="560">
        <f>委附表2!AE20</f>
        <v>0.52</v>
      </c>
      <c r="AF20" s="561"/>
      <c r="AG20" s="561"/>
      <c r="AH20" s="562"/>
      <c r="AI20" s="575">
        <f t="shared" si="0"/>
        <v>0</v>
      </c>
      <c r="AJ20" s="576"/>
      <c r="AK20" s="576"/>
      <c r="AL20" s="576"/>
      <c r="AM20" s="576"/>
      <c r="AN20" s="576"/>
      <c r="AO20" s="576"/>
      <c r="AP20" s="576"/>
      <c r="AQ20" s="576"/>
      <c r="AR20" s="577"/>
      <c r="AS20" s="575">
        <f t="shared" si="1"/>
        <v>0</v>
      </c>
      <c r="AT20" s="576"/>
      <c r="AU20" s="576"/>
      <c r="AV20" s="576"/>
      <c r="AW20" s="576"/>
      <c r="AX20" s="576"/>
      <c r="AY20" s="576"/>
      <c r="AZ20" s="576"/>
      <c r="BA20" s="576"/>
      <c r="BB20" s="579"/>
    </row>
    <row r="21" spans="2:54" ht="31.5" customHeight="1" x14ac:dyDescent="0.15">
      <c r="B21" s="136"/>
      <c r="C21" s="543" t="s">
        <v>89</v>
      </c>
      <c r="D21" s="544"/>
      <c r="E21" s="544"/>
      <c r="F21" s="544"/>
      <c r="G21" s="544"/>
      <c r="H21" s="544"/>
      <c r="I21" s="544"/>
      <c r="J21" s="544"/>
      <c r="K21" s="544"/>
      <c r="L21" s="544"/>
      <c r="M21" s="545"/>
      <c r="N21" s="137"/>
      <c r="O21" s="551"/>
      <c r="P21" s="552"/>
      <c r="Q21" s="552"/>
      <c r="R21" s="552"/>
      <c r="S21" s="552"/>
      <c r="T21" s="552"/>
      <c r="U21" s="552"/>
      <c r="V21" s="552"/>
      <c r="W21" s="552"/>
      <c r="X21" s="553"/>
      <c r="Y21" s="540"/>
      <c r="Z21" s="541"/>
      <c r="AA21" s="541"/>
      <c r="AB21" s="541"/>
      <c r="AC21" s="541"/>
      <c r="AD21" s="542"/>
      <c r="AE21" s="560">
        <f>委附表2!AE21</f>
        <v>1.1299999999999999</v>
      </c>
      <c r="AF21" s="561"/>
      <c r="AG21" s="561"/>
      <c r="AH21" s="562"/>
      <c r="AI21" s="575">
        <f t="shared" si="0"/>
        <v>0</v>
      </c>
      <c r="AJ21" s="576"/>
      <c r="AK21" s="576"/>
      <c r="AL21" s="576"/>
      <c r="AM21" s="576"/>
      <c r="AN21" s="576"/>
      <c r="AO21" s="576"/>
      <c r="AP21" s="576"/>
      <c r="AQ21" s="576"/>
      <c r="AR21" s="577"/>
      <c r="AS21" s="575">
        <f t="shared" si="1"/>
        <v>0</v>
      </c>
      <c r="AT21" s="576"/>
      <c r="AU21" s="576"/>
      <c r="AV21" s="576"/>
      <c r="AW21" s="576"/>
      <c r="AX21" s="576"/>
      <c r="AY21" s="576"/>
      <c r="AZ21" s="576"/>
      <c r="BA21" s="576"/>
      <c r="BB21" s="579"/>
    </row>
    <row r="22" spans="2:54" ht="31.5" customHeight="1" x14ac:dyDescent="0.15">
      <c r="B22" s="136"/>
      <c r="C22" s="543" t="s">
        <v>90</v>
      </c>
      <c r="D22" s="544"/>
      <c r="E22" s="544"/>
      <c r="F22" s="544"/>
      <c r="G22" s="544"/>
      <c r="H22" s="544"/>
      <c r="I22" s="544"/>
      <c r="J22" s="544"/>
      <c r="K22" s="544"/>
      <c r="L22" s="544"/>
      <c r="M22" s="583"/>
      <c r="N22" s="137"/>
      <c r="O22" s="551"/>
      <c r="P22" s="552"/>
      <c r="Q22" s="552"/>
      <c r="R22" s="552"/>
      <c r="S22" s="552"/>
      <c r="T22" s="552"/>
      <c r="U22" s="552"/>
      <c r="V22" s="552"/>
      <c r="W22" s="552"/>
      <c r="X22" s="553"/>
      <c r="Y22" s="540"/>
      <c r="Z22" s="541"/>
      <c r="AA22" s="541"/>
      <c r="AB22" s="541"/>
      <c r="AC22" s="541"/>
      <c r="AD22" s="542"/>
      <c r="AE22" s="560">
        <f>委附表2!AE22</f>
        <v>1</v>
      </c>
      <c r="AF22" s="561"/>
      <c r="AG22" s="561"/>
      <c r="AH22" s="562"/>
      <c r="AI22" s="575">
        <f t="shared" si="0"/>
        <v>0</v>
      </c>
      <c r="AJ22" s="576"/>
      <c r="AK22" s="576"/>
      <c r="AL22" s="576"/>
      <c r="AM22" s="576"/>
      <c r="AN22" s="576"/>
      <c r="AO22" s="576"/>
      <c r="AP22" s="576"/>
      <c r="AQ22" s="576"/>
      <c r="AR22" s="577"/>
      <c r="AS22" s="575">
        <f t="shared" si="1"/>
        <v>0</v>
      </c>
      <c r="AT22" s="576"/>
      <c r="AU22" s="576"/>
      <c r="AV22" s="576"/>
      <c r="AW22" s="576"/>
      <c r="AX22" s="576"/>
      <c r="AY22" s="576"/>
      <c r="AZ22" s="576"/>
      <c r="BA22" s="576"/>
      <c r="BB22" s="579"/>
    </row>
    <row r="23" spans="2:54" ht="31.5" customHeight="1" x14ac:dyDescent="0.15">
      <c r="B23" s="136"/>
      <c r="C23" s="543" t="s">
        <v>91</v>
      </c>
      <c r="D23" s="544"/>
      <c r="E23" s="544"/>
      <c r="F23" s="544"/>
      <c r="G23" s="544"/>
      <c r="H23" s="544"/>
      <c r="I23" s="544"/>
      <c r="J23" s="544"/>
      <c r="K23" s="544"/>
      <c r="L23" s="544"/>
      <c r="M23" s="545"/>
      <c r="N23" s="137"/>
      <c r="O23" s="551"/>
      <c r="P23" s="552"/>
      <c r="Q23" s="552"/>
      <c r="R23" s="552"/>
      <c r="S23" s="552"/>
      <c r="T23" s="552"/>
      <c r="U23" s="552"/>
      <c r="V23" s="552"/>
      <c r="W23" s="552"/>
      <c r="X23" s="553"/>
      <c r="Y23" s="540"/>
      <c r="Z23" s="541"/>
      <c r="AA23" s="541"/>
      <c r="AB23" s="541"/>
      <c r="AC23" s="541"/>
      <c r="AD23" s="542"/>
      <c r="AE23" s="560">
        <f>委附表2!AE23</f>
        <v>1.93</v>
      </c>
      <c r="AF23" s="561"/>
      <c r="AG23" s="561"/>
      <c r="AH23" s="562"/>
      <c r="AI23" s="575">
        <f t="shared" si="0"/>
        <v>0</v>
      </c>
      <c r="AJ23" s="576"/>
      <c r="AK23" s="576"/>
      <c r="AL23" s="576"/>
      <c r="AM23" s="576"/>
      <c r="AN23" s="576"/>
      <c r="AO23" s="576"/>
      <c r="AP23" s="576"/>
      <c r="AQ23" s="576"/>
      <c r="AR23" s="577"/>
      <c r="AS23" s="575">
        <f t="shared" si="1"/>
        <v>0</v>
      </c>
      <c r="AT23" s="576"/>
      <c r="AU23" s="576"/>
      <c r="AV23" s="576"/>
      <c r="AW23" s="576"/>
      <c r="AX23" s="576"/>
      <c r="AY23" s="576"/>
      <c r="AZ23" s="576"/>
      <c r="BA23" s="576"/>
      <c r="BB23" s="579"/>
    </row>
    <row r="24" spans="2:54" ht="31.5" customHeight="1" x14ac:dyDescent="0.15">
      <c r="B24" s="136"/>
      <c r="C24" s="543" t="s">
        <v>92</v>
      </c>
      <c r="D24" s="544"/>
      <c r="E24" s="544"/>
      <c r="F24" s="544"/>
      <c r="G24" s="544"/>
      <c r="H24" s="544"/>
      <c r="I24" s="544"/>
      <c r="J24" s="544"/>
      <c r="K24" s="544"/>
      <c r="L24" s="544"/>
      <c r="M24" s="583"/>
      <c r="N24" s="137"/>
      <c r="O24" s="551"/>
      <c r="P24" s="552"/>
      <c r="Q24" s="552"/>
      <c r="R24" s="552"/>
      <c r="S24" s="552"/>
      <c r="T24" s="552"/>
      <c r="U24" s="552"/>
      <c r="V24" s="552"/>
      <c r="W24" s="552"/>
      <c r="X24" s="553"/>
      <c r="Y24" s="540"/>
      <c r="Z24" s="541"/>
      <c r="AA24" s="541"/>
      <c r="AB24" s="541"/>
      <c r="AC24" s="541"/>
      <c r="AD24" s="542"/>
      <c r="AE24" s="560">
        <f>委附表2!AE24</f>
        <v>1.48</v>
      </c>
      <c r="AF24" s="561"/>
      <c r="AG24" s="561"/>
      <c r="AH24" s="562"/>
      <c r="AI24" s="575">
        <f t="shared" si="0"/>
        <v>0</v>
      </c>
      <c r="AJ24" s="576"/>
      <c r="AK24" s="576"/>
      <c r="AL24" s="576"/>
      <c r="AM24" s="576"/>
      <c r="AN24" s="576"/>
      <c r="AO24" s="576"/>
      <c r="AP24" s="576"/>
      <c r="AQ24" s="576"/>
      <c r="AR24" s="577"/>
      <c r="AS24" s="575">
        <f t="shared" si="1"/>
        <v>0</v>
      </c>
      <c r="AT24" s="576"/>
      <c r="AU24" s="576"/>
      <c r="AV24" s="576"/>
      <c r="AW24" s="576"/>
      <c r="AX24" s="576"/>
      <c r="AY24" s="576"/>
      <c r="AZ24" s="576"/>
      <c r="BA24" s="576"/>
      <c r="BB24" s="579"/>
    </row>
    <row r="25" spans="2:54" ht="31.5" customHeight="1" x14ac:dyDescent="0.15">
      <c r="B25" s="136"/>
      <c r="C25" s="543" t="s">
        <v>93</v>
      </c>
      <c r="D25" s="544"/>
      <c r="E25" s="544"/>
      <c r="F25" s="544"/>
      <c r="G25" s="544"/>
      <c r="H25" s="544"/>
      <c r="I25" s="544"/>
      <c r="J25" s="544"/>
      <c r="K25" s="544"/>
      <c r="L25" s="544"/>
      <c r="M25" s="545"/>
      <c r="N25" s="137"/>
      <c r="O25" s="551"/>
      <c r="P25" s="552"/>
      <c r="Q25" s="552"/>
      <c r="R25" s="552"/>
      <c r="S25" s="552"/>
      <c r="T25" s="552"/>
      <c r="U25" s="552"/>
      <c r="V25" s="552"/>
      <c r="W25" s="552"/>
      <c r="X25" s="553"/>
      <c r="Y25" s="540"/>
      <c r="Z25" s="541"/>
      <c r="AA25" s="541"/>
      <c r="AB25" s="541"/>
      <c r="AC25" s="541"/>
      <c r="AD25" s="542"/>
      <c r="AE25" s="560">
        <f>委附表2!AE25</f>
        <v>1</v>
      </c>
      <c r="AF25" s="561"/>
      <c r="AG25" s="561"/>
      <c r="AH25" s="562"/>
      <c r="AI25" s="575">
        <f t="shared" si="0"/>
        <v>0</v>
      </c>
      <c r="AJ25" s="576"/>
      <c r="AK25" s="576"/>
      <c r="AL25" s="576"/>
      <c r="AM25" s="576"/>
      <c r="AN25" s="576"/>
      <c r="AO25" s="576"/>
      <c r="AP25" s="576"/>
      <c r="AQ25" s="576"/>
      <c r="AR25" s="577"/>
      <c r="AS25" s="575">
        <f t="shared" si="1"/>
        <v>0</v>
      </c>
      <c r="AT25" s="576"/>
      <c r="AU25" s="576"/>
      <c r="AV25" s="576"/>
      <c r="AW25" s="576"/>
      <c r="AX25" s="576"/>
      <c r="AY25" s="576"/>
      <c r="AZ25" s="576"/>
      <c r="BA25" s="576"/>
      <c r="BB25" s="579"/>
    </row>
    <row r="26" spans="2:54" ht="31.5" customHeight="1" x14ac:dyDescent="0.15">
      <c r="B26" s="136"/>
      <c r="C26" s="543" t="s">
        <v>94</v>
      </c>
      <c r="D26" s="544"/>
      <c r="E26" s="544"/>
      <c r="F26" s="544"/>
      <c r="G26" s="544"/>
      <c r="H26" s="544"/>
      <c r="I26" s="544"/>
      <c r="J26" s="544"/>
      <c r="K26" s="544"/>
      <c r="L26" s="544"/>
      <c r="M26" s="545"/>
      <c r="N26" s="137"/>
      <c r="O26" s="551"/>
      <c r="P26" s="552"/>
      <c r="Q26" s="552"/>
      <c r="R26" s="552"/>
      <c r="S26" s="552"/>
      <c r="T26" s="552"/>
      <c r="U26" s="552"/>
      <c r="V26" s="552"/>
      <c r="W26" s="552"/>
      <c r="X26" s="553"/>
      <c r="Y26" s="540"/>
      <c r="Z26" s="541"/>
      <c r="AA26" s="541"/>
      <c r="AB26" s="541"/>
      <c r="AC26" s="541"/>
      <c r="AD26" s="542"/>
      <c r="AE26" s="560">
        <f>委附表2!AE26</f>
        <v>1</v>
      </c>
      <c r="AF26" s="561"/>
      <c r="AG26" s="561"/>
      <c r="AH26" s="562"/>
      <c r="AI26" s="575">
        <f t="shared" si="0"/>
        <v>0</v>
      </c>
      <c r="AJ26" s="576"/>
      <c r="AK26" s="576"/>
      <c r="AL26" s="576"/>
      <c r="AM26" s="576"/>
      <c r="AN26" s="576"/>
      <c r="AO26" s="576"/>
      <c r="AP26" s="576"/>
      <c r="AQ26" s="576"/>
      <c r="AR26" s="577"/>
      <c r="AS26" s="575">
        <f t="shared" si="1"/>
        <v>0</v>
      </c>
      <c r="AT26" s="576"/>
      <c r="AU26" s="576"/>
      <c r="AV26" s="576"/>
      <c r="AW26" s="576"/>
      <c r="AX26" s="576"/>
      <c r="AY26" s="576"/>
      <c r="AZ26" s="576"/>
      <c r="BA26" s="576"/>
      <c r="BB26" s="579"/>
    </row>
    <row r="27" spans="2:54" ht="31.5" customHeight="1" x14ac:dyDescent="0.15">
      <c r="B27" s="136"/>
      <c r="C27" s="548" t="s">
        <v>104</v>
      </c>
      <c r="D27" s="549"/>
      <c r="E27" s="549"/>
      <c r="F27" s="549"/>
      <c r="G27" s="549"/>
      <c r="H27" s="549"/>
      <c r="I27" s="549"/>
      <c r="J27" s="549"/>
      <c r="K27" s="549"/>
      <c r="L27" s="549"/>
      <c r="M27" s="550"/>
      <c r="N27" s="137"/>
      <c r="O27" s="551"/>
      <c r="P27" s="552"/>
      <c r="Q27" s="552"/>
      <c r="R27" s="552"/>
      <c r="S27" s="552"/>
      <c r="T27" s="552"/>
      <c r="U27" s="552"/>
      <c r="V27" s="552"/>
      <c r="W27" s="552"/>
      <c r="X27" s="553"/>
      <c r="Y27" s="540"/>
      <c r="Z27" s="541"/>
      <c r="AA27" s="541"/>
      <c r="AB27" s="541"/>
      <c r="AC27" s="541"/>
      <c r="AD27" s="542"/>
      <c r="AE27" s="560">
        <f>委附表2!AE27</f>
        <v>1.26</v>
      </c>
      <c r="AF27" s="561"/>
      <c r="AG27" s="561"/>
      <c r="AH27" s="562"/>
      <c r="AI27" s="575">
        <f t="shared" si="0"/>
        <v>0</v>
      </c>
      <c r="AJ27" s="576"/>
      <c r="AK27" s="576"/>
      <c r="AL27" s="576"/>
      <c r="AM27" s="576"/>
      <c r="AN27" s="576"/>
      <c r="AO27" s="576"/>
      <c r="AP27" s="576"/>
      <c r="AQ27" s="576"/>
      <c r="AR27" s="577"/>
      <c r="AS27" s="575">
        <f t="shared" si="1"/>
        <v>0</v>
      </c>
      <c r="AT27" s="576"/>
      <c r="AU27" s="576"/>
      <c r="AV27" s="576"/>
      <c r="AW27" s="576"/>
      <c r="AX27" s="576"/>
      <c r="AY27" s="576"/>
      <c r="AZ27" s="576"/>
      <c r="BA27" s="576"/>
      <c r="BB27" s="579"/>
    </row>
    <row r="28" spans="2:54" ht="43.5" customHeight="1" thickBot="1" x14ac:dyDescent="0.2">
      <c r="B28" s="138"/>
      <c r="C28" s="548" t="s">
        <v>95</v>
      </c>
      <c r="D28" s="549"/>
      <c r="E28" s="549"/>
      <c r="F28" s="549"/>
      <c r="G28" s="549"/>
      <c r="H28" s="549"/>
      <c r="I28" s="549"/>
      <c r="J28" s="549"/>
      <c r="K28" s="549"/>
      <c r="L28" s="549"/>
      <c r="M28" s="550"/>
      <c r="N28" s="134"/>
      <c r="O28" s="580"/>
      <c r="P28" s="581"/>
      <c r="Q28" s="581"/>
      <c r="R28" s="581"/>
      <c r="S28" s="581"/>
      <c r="T28" s="581"/>
      <c r="U28" s="581"/>
      <c r="V28" s="581"/>
      <c r="W28" s="581"/>
      <c r="X28" s="582"/>
      <c r="Y28" s="540"/>
      <c r="Z28" s="541"/>
      <c r="AA28" s="541"/>
      <c r="AB28" s="541"/>
      <c r="AC28" s="541"/>
      <c r="AD28" s="542"/>
      <c r="AE28" s="563">
        <f>委附表2!AE28</f>
        <v>1</v>
      </c>
      <c r="AF28" s="564"/>
      <c r="AG28" s="564"/>
      <c r="AH28" s="565"/>
      <c r="AI28" s="575">
        <f t="shared" si="0"/>
        <v>0</v>
      </c>
      <c r="AJ28" s="576"/>
      <c r="AK28" s="576"/>
      <c r="AL28" s="576"/>
      <c r="AM28" s="576"/>
      <c r="AN28" s="576"/>
      <c r="AO28" s="576"/>
      <c r="AP28" s="576"/>
      <c r="AQ28" s="576"/>
      <c r="AR28" s="577"/>
      <c r="AS28" s="575">
        <f>O28+AI28</f>
        <v>0</v>
      </c>
      <c r="AT28" s="576"/>
      <c r="AU28" s="576"/>
      <c r="AV28" s="576"/>
      <c r="AW28" s="576"/>
      <c r="AX28" s="576"/>
      <c r="AY28" s="576"/>
      <c r="AZ28" s="576"/>
      <c r="BA28" s="576"/>
      <c r="BB28" s="579"/>
    </row>
    <row r="29" spans="2:54" ht="31.5" customHeight="1" thickTop="1" x14ac:dyDescent="0.15">
      <c r="B29" s="139"/>
      <c r="C29" s="569" t="s">
        <v>96</v>
      </c>
      <c r="D29" s="570"/>
      <c r="E29" s="570"/>
      <c r="F29" s="570"/>
      <c r="G29" s="570"/>
      <c r="H29" s="570"/>
      <c r="I29" s="570"/>
      <c r="J29" s="570"/>
      <c r="K29" s="570"/>
      <c r="L29" s="570"/>
      <c r="M29" s="571"/>
      <c r="N29" s="140"/>
      <c r="O29" s="572">
        <f>SUM(O11:X28)</f>
        <v>0</v>
      </c>
      <c r="P29" s="573"/>
      <c r="Q29" s="573"/>
      <c r="R29" s="573"/>
      <c r="S29" s="573"/>
      <c r="T29" s="573"/>
      <c r="U29" s="573"/>
      <c r="V29" s="573"/>
      <c r="W29" s="573"/>
      <c r="X29" s="574"/>
      <c r="Y29" s="566">
        <f>SUM(Y11:AD28)</f>
        <v>0</v>
      </c>
      <c r="Z29" s="567"/>
      <c r="AA29" s="567"/>
      <c r="AB29" s="567"/>
      <c r="AC29" s="567"/>
      <c r="AD29" s="568"/>
      <c r="AE29" s="557"/>
      <c r="AF29" s="558"/>
      <c r="AG29" s="558"/>
      <c r="AH29" s="559"/>
      <c r="AI29" s="554">
        <f>SUM(AI11:AR28)</f>
        <v>0</v>
      </c>
      <c r="AJ29" s="555"/>
      <c r="AK29" s="555"/>
      <c r="AL29" s="555"/>
      <c r="AM29" s="555"/>
      <c r="AN29" s="555"/>
      <c r="AO29" s="555"/>
      <c r="AP29" s="555"/>
      <c r="AQ29" s="555"/>
      <c r="AR29" s="578"/>
      <c r="AS29" s="554">
        <f>SUM(AS11:BB28)</f>
        <v>0</v>
      </c>
      <c r="AT29" s="555"/>
      <c r="AU29" s="555"/>
      <c r="AV29" s="555"/>
      <c r="AW29" s="555"/>
      <c r="AX29" s="555"/>
      <c r="AY29" s="555"/>
      <c r="AZ29" s="555"/>
      <c r="BA29" s="555"/>
      <c r="BB29" s="556"/>
    </row>
    <row r="30" spans="2:54" ht="6" customHeight="1" x14ac:dyDescent="0.15"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5"/>
      <c r="N30" s="135"/>
      <c r="O30" s="141"/>
      <c r="P30" s="135"/>
      <c r="Q30" s="135"/>
      <c r="R30" s="135"/>
      <c r="S30" s="135"/>
      <c r="T30" s="135"/>
      <c r="U30" s="135"/>
      <c r="V30" s="135"/>
      <c r="W30" s="135"/>
      <c r="X30" s="135"/>
      <c r="AE30" s="142"/>
      <c r="AF30" s="143"/>
      <c r="AG30" s="143"/>
      <c r="AH30" s="143"/>
      <c r="AI30" s="141"/>
      <c r="AJ30" s="144"/>
      <c r="AK30" s="144"/>
      <c r="AL30" s="144"/>
      <c r="AM30" s="144"/>
      <c r="AN30" s="144"/>
      <c r="AO30" s="144"/>
      <c r="AP30" s="144"/>
      <c r="AQ30" s="144"/>
      <c r="AR30" s="144"/>
      <c r="AS30" s="141"/>
      <c r="AT30" s="144"/>
      <c r="AU30" s="144"/>
      <c r="AV30" s="144"/>
      <c r="AW30" s="144"/>
      <c r="AX30" s="144"/>
      <c r="AY30" s="144"/>
      <c r="AZ30" s="144"/>
      <c r="BA30" s="144"/>
      <c r="BB30" s="144"/>
    </row>
    <row r="31" spans="2:54" ht="13.5" customHeight="1" x14ac:dyDescent="0.15">
      <c r="B31" s="538" t="s">
        <v>97</v>
      </c>
      <c r="C31" s="538"/>
      <c r="D31" s="538"/>
      <c r="E31" s="539" t="s">
        <v>105</v>
      </c>
      <c r="F31" s="539"/>
      <c r="G31" s="539"/>
      <c r="H31" s="539"/>
      <c r="I31" s="539"/>
      <c r="J31" s="539"/>
      <c r="K31" s="539"/>
      <c r="L31" s="539"/>
      <c r="M31" s="539"/>
      <c r="N31" s="539"/>
      <c r="O31" s="539"/>
      <c r="P31" s="539"/>
      <c r="Q31" s="539"/>
      <c r="R31" s="539"/>
      <c r="S31" s="539"/>
      <c r="T31" s="539"/>
      <c r="U31" s="539"/>
      <c r="V31" s="539"/>
      <c r="W31" s="539"/>
      <c r="X31" s="539"/>
      <c r="Y31" s="539"/>
      <c r="Z31" s="539"/>
      <c r="AA31" s="539"/>
      <c r="AB31" s="539"/>
      <c r="AC31" s="539"/>
      <c r="AD31" s="539"/>
      <c r="AE31" s="539"/>
      <c r="AF31" s="539"/>
      <c r="AG31" s="539"/>
      <c r="AH31" s="539"/>
      <c r="AI31" s="539"/>
      <c r="AJ31" s="539"/>
      <c r="AK31" s="539"/>
      <c r="AL31" s="539"/>
      <c r="AM31" s="539"/>
      <c r="AN31" s="539"/>
      <c r="AO31" s="539"/>
      <c r="AP31" s="539"/>
      <c r="AQ31" s="539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</row>
    <row r="32" spans="2:54" ht="13.5" customHeight="1" x14ac:dyDescent="0.15">
      <c r="B32" s="145"/>
      <c r="E32" s="539" t="s">
        <v>98</v>
      </c>
      <c r="F32" s="539"/>
      <c r="G32" s="539"/>
      <c r="H32" s="539"/>
      <c r="I32" s="539"/>
      <c r="J32" s="539"/>
      <c r="K32" s="539"/>
      <c r="L32" s="539"/>
      <c r="M32" s="539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Y32" s="539"/>
      <c r="Z32" s="539"/>
      <c r="AA32" s="539"/>
      <c r="AB32" s="539"/>
      <c r="AC32" s="539"/>
      <c r="AD32" s="539"/>
      <c r="AE32" s="539"/>
      <c r="AF32" s="539"/>
      <c r="AG32" s="539"/>
      <c r="AH32" s="539"/>
      <c r="AI32" s="539"/>
      <c r="AJ32" s="539"/>
      <c r="AK32" s="539"/>
      <c r="AL32" s="539"/>
      <c r="AM32" s="539"/>
      <c r="AN32" s="539"/>
      <c r="AO32" s="539"/>
      <c r="AP32" s="539"/>
      <c r="AQ32" s="539"/>
      <c r="AR32" s="539"/>
      <c r="AS32" s="539"/>
      <c r="AT32" s="539"/>
      <c r="AU32" s="539"/>
      <c r="AV32" s="539"/>
      <c r="AW32" s="539"/>
      <c r="AX32" s="539"/>
      <c r="AY32" s="539"/>
      <c r="AZ32" s="539"/>
      <c r="BA32" s="539"/>
      <c r="BB32" s="539"/>
    </row>
    <row r="34" spans="2:74" ht="13.5" customHeight="1" x14ac:dyDescent="0.15">
      <c r="X34" s="603" t="s">
        <v>54</v>
      </c>
      <c r="Y34" s="603"/>
      <c r="Z34" s="603"/>
      <c r="AA34" s="603"/>
      <c r="AB34" s="603"/>
      <c r="AC34" s="603"/>
      <c r="AD34" s="603"/>
      <c r="AE34" s="603"/>
      <c r="AF34" s="603"/>
      <c r="AG34" s="603"/>
      <c r="AH34" s="603"/>
      <c r="AI34" s="603"/>
      <c r="AJ34" s="603"/>
      <c r="AK34" s="603"/>
      <c r="AL34" s="603"/>
      <c r="AM34" s="131"/>
      <c r="AN34" s="602" t="str">
        <f>納入・納付申告書!$AV$12</f>
        <v>有限会社　オー・エス収集センター</v>
      </c>
      <c r="AO34" s="602"/>
      <c r="AP34" s="602"/>
      <c r="AQ34" s="602"/>
      <c r="AR34" s="602"/>
      <c r="AS34" s="602"/>
      <c r="AT34" s="602"/>
      <c r="AU34" s="602"/>
      <c r="AV34" s="602"/>
      <c r="AW34" s="602"/>
      <c r="AX34" s="602"/>
      <c r="AY34" s="602"/>
      <c r="AZ34" s="602"/>
      <c r="BA34" s="602"/>
      <c r="BB34" s="602"/>
    </row>
    <row r="35" spans="2:74" ht="6.75" customHeight="1" x14ac:dyDescent="0.15"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</row>
    <row r="36" spans="2:74" ht="40.5" customHeight="1" x14ac:dyDescent="0.2">
      <c r="B36" s="618" t="s">
        <v>70</v>
      </c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  <c r="P36" s="619"/>
      <c r="Q36" s="619"/>
      <c r="R36" s="619"/>
      <c r="S36" s="619"/>
      <c r="T36" s="619"/>
      <c r="U36" s="619"/>
      <c r="V36" s="619"/>
      <c r="W36" s="619"/>
      <c r="X36" s="619"/>
      <c r="Y36" s="619"/>
      <c r="Z36" s="619"/>
      <c r="AA36" s="619"/>
      <c r="AB36" s="619"/>
      <c r="AC36" s="619"/>
      <c r="AD36" s="619"/>
      <c r="AE36" s="619"/>
      <c r="AF36" s="619"/>
      <c r="AG36" s="619"/>
      <c r="AH36" s="619"/>
      <c r="AI36" s="619"/>
      <c r="AJ36" s="619"/>
      <c r="AK36" s="619"/>
      <c r="AL36" s="619"/>
      <c r="AM36" s="619"/>
      <c r="AN36" s="619"/>
      <c r="AO36" s="619"/>
      <c r="AP36" s="619"/>
      <c r="AQ36" s="619"/>
      <c r="AR36" s="619"/>
      <c r="AS36" s="619"/>
      <c r="AT36" s="619"/>
      <c r="AU36" s="619"/>
      <c r="AV36" s="619"/>
      <c r="AW36" s="619"/>
      <c r="AX36" s="619"/>
      <c r="AY36" s="619"/>
      <c r="AZ36" s="619"/>
      <c r="BA36" s="619"/>
      <c r="BB36" s="620"/>
    </row>
    <row r="37" spans="2:74" ht="15" customHeight="1" x14ac:dyDescent="0.15">
      <c r="B37" s="591" t="s">
        <v>9</v>
      </c>
      <c r="C37" s="592"/>
      <c r="D37" s="592"/>
      <c r="E37" s="592"/>
      <c r="F37" s="592"/>
      <c r="G37" s="592"/>
      <c r="H37" s="592"/>
      <c r="I37" s="592"/>
      <c r="J37" s="592"/>
      <c r="K37" s="604" t="str">
        <f>納入・納付申告書!CB44&amp;"分"</f>
        <v>令和7年5月分</v>
      </c>
      <c r="L37" s="605"/>
      <c r="M37" s="605"/>
      <c r="N37" s="605"/>
      <c r="O37" s="605"/>
      <c r="P37" s="605"/>
      <c r="Q37" s="605"/>
      <c r="R37" s="605"/>
      <c r="S37" s="605"/>
      <c r="T37" s="605"/>
      <c r="U37" s="605"/>
      <c r="V37" s="605"/>
      <c r="W37" s="605"/>
      <c r="X37" s="605"/>
      <c r="Y37" s="605"/>
      <c r="Z37" s="605"/>
      <c r="AA37" s="605"/>
      <c r="AB37" s="605"/>
      <c r="AC37" s="605"/>
      <c r="AD37" s="606"/>
      <c r="AE37" s="621" t="s">
        <v>71</v>
      </c>
      <c r="AF37" s="621"/>
      <c r="AG37" s="621"/>
      <c r="AH37" s="621"/>
      <c r="AI37" s="621"/>
      <c r="AJ37" s="621"/>
      <c r="AK37" s="621"/>
      <c r="AL37" s="621"/>
      <c r="AM37" s="592" t="s">
        <v>72</v>
      </c>
      <c r="AN37" s="592"/>
      <c r="AO37" s="592"/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623"/>
      <c r="BV37" s="129" t="s">
        <v>68</v>
      </c>
    </row>
    <row r="38" spans="2:74" ht="15" customHeight="1" x14ac:dyDescent="0.15">
      <c r="B38" s="593"/>
      <c r="C38" s="585"/>
      <c r="D38" s="585"/>
      <c r="E38" s="585"/>
      <c r="F38" s="585"/>
      <c r="G38" s="585"/>
      <c r="H38" s="585"/>
      <c r="I38" s="585"/>
      <c r="J38" s="585"/>
      <c r="K38" s="607"/>
      <c r="L38" s="608"/>
      <c r="M38" s="608"/>
      <c r="N38" s="608"/>
      <c r="O38" s="608"/>
      <c r="P38" s="608"/>
      <c r="Q38" s="608"/>
      <c r="R38" s="608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08"/>
      <c r="AD38" s="609"/>
      <c r="AE38" s="622"/>
      <c r="AF38" s="622"/>
      <c r="AG38" s="622"/>
      <c r="AH38" s="622"/>
      <c r="AI38" s="622"/>
      <c r="AJ38" s="622"/>
      <c r="AK38" s="622"/>
      <c r="AL38" s="622"/>
      <c r="AM38" s="585"/>
      <c r="AN38" s="585"/>
      <c r="AO38" s="585"/>
      <c r="AP38" s="585"/>
      <c r="AQ38" s="585"/>
      <c r="AR38" s="585"/>
      <c r="AS38" s="585"/>
      <c r="AT38" s="585"/>
      <c r="AU38" s="585"/>
      <c r="AV38" s="585"/>
      <c r="AW38" s="585"/>
      <c r="AX38" s="585"/>
      <c r="AY38" s="585"/>
      <c r="AZ38" s="585"/>
      <c r="BA38" s="585"/>
      <c r="BB38" s="624"/>
    </row>
    <row r="39" spans="2:74" ht="13.5" customHeight="1" x14ac:dyDescent="0.15">
      <c r="B39" s="598" t="s">
        <v>73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  <c r="M39" s="600"/>
      <c r="N39" s="134"/>
      <c r="O39" s="612" t="s">
        <v>74</v>
      </c>
      <c r="P39" s="610"/>
      <c r="Q39" s="610"/>
      <c r="R39" s="610"/>
      <c r="S39" s="610"/>
      <c r="T39" s="610"/>
      <c r="U39" s="610"/>
      <c r="V39" s="610"/>
      <c r="W39" s="610"/>
      <c r="X39" s="611"/>
      <c r="Y39" s="588" t="s">
        <v>75</v>
      </c>
      <c r="Z39" s="589"/>
      <c r="AA39" s="589"/>
      <c r="AB39" s="589"/>
      <c r="AC39" s="589"/>
      <c r="AD39" s="589"/>
      <c r="AE39" s="589"/>
      <c r="AF39" s="589"/>
      <c r="AG39" s="589"/>
      <c r="AH39" s="589"/>
      <c r="AI39" s="589"/>
      <c r="AJ39" s="589"/>
      <c r="AK39" s="589"/>
      <c r="AL39" s="589"/>
      <c r="AM39" s="589"/>
      <c r="AN39" s="589"/>
      <c r="AO39" s="589"/>
      <c r="AP39" s="589"/>
      <c r="AQ39" s="589"/>
      <c r="AR39" s="590"/>
      <c r="AS39" s="612" t="s">
        <v>76</v>
      </c>
      <c r="AT39" s="613"/>
      <c r="AU39" s="613"/>
      <c r="AV39" s="613"/>
      <c r="AW39" s="613"/>
      <c r="AX39" s="613"/>
      <c r="AY39" s="613"/>
      <c r="AZ39" s="613"/>
      <c r="BA39" s="613"/>
      <c r="BB39" s="614"/>
    </row>
    <row r="40" spans="2:74" x14ac:dyDescent="0.15">
      <c r="B40" s="601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600"/>
      <c r="N40" s="135"/>
      <c r="O40" s="625"/>
      <c r="P40" s="626"/>
      <c r="Q40" s="626"/>
      <c r="R40" s="626"/>
      <c r="S40" s="626"/>
      <c r="T40" s="626"/>
      <c r="U40" s="626"/>
      <c r="V40" s="626"/>
      <c r="W40" s="626"/>
      <c r="X40" s="627"/>
      <c r="Y40" s="594" t="s">
        <v>77</v>
      </c>
      <c r="Z40" s="610"/>
      <c r="AA40" s="610"/>
      <c r="AB40" s="610"/>
      <c r="AC40" s="610"/>
      <c r="AD40" s="611"/>
      <c r="AE40" s="594" t="s">
        <v>78</v>
      </c>
      <c r="AF40" s="595"/>
      <c r="AG40" s="596"/>
      <c r="AH40" s="597"/>
      <c r="AI40" s="594" t="s">
        <v>79</v>
      </c>
      <c r="AJ40" s="595"/>
      <c r="AK40" s="596"/>
      <c r="AL40" s="596"/>
      <c r="AM40" s="596"/>
      <c r="AN40" s="596"/>
      <c r="AO40" s="596"/>
      <c r="AP40" s="596"/>
      <c r="AQ40" s="596"/>
      <c r="AR40" s="597"/>
      <c r="AS40" s="615"/>
      <c r="AT40" s="538"/>
      <c r="AU40" s="538"/>
      <c r="AV40" s="538"/>
      <c r="AW40" s="538"/>
      <c r="AX40" s="538"/>
      <c r="AY40" s="538"/>
      <c r="AZ40" s="538"/>
      <c r="BA40" s="538"/>
      <c r="BB40" s="616"/>
    </row>
    <row r="41" spans="2:74" ht="13.5" customHeight="1" x14ac:dyDescent="0.15">
      <c r="B41" s="601"/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600"/>
      <c r="N41" s="135"/>
      <c r="O41" s="584" t="s">
        <v>64</v>
      </c>
      <c r="P41" s="586"/>
      <c r="Q41" s="586"/>
      <c r="R41" s="586"/>
      <c r="S41" s="586"/>
      <c r="T41" s="586"/>
      <c r="U41" s="586"/>
      <c r="V41" s="586"/>
      <c r="W41" s="586"/>
      <c r="X41" s="587"/>
      <c r="Y41" s="584" t="s">
        <v>99</v>
      </c>
      <c r="Z41" s="586"/>
      <c r="AA41" s="586"/>
      <c r="AB41" s="586"/>
      <c r="AC41" s="586"/>
      <c r="AD41" s="587"/>
      <c r="AE41" s="584" t="s">
        <v>100</v>
      </c>
      <c r="AF41" s="585"/>
      <c r="AG41" s="586"/>
      <c r="AH41" s="587"/>
      <c r="AI41" s="584" t="s">
        <v>101</v>
      </c>
      <c r="AJ41" s="585"/>
      <c r="AK41" s="586"/>
      <c r="AL41" s="586"/>
      <c r="AM41" s="586"/>
      <c r="AN41" s="586"/>
      <c r="AO41" s="586"/>
      <c r="AP41" s="586"/>
      <c r="AQ41" s="586"/>
      <c r="AR41" s="587"/>
      <c r="AS41" s="584" t="s">
        <v>102</v>
      </c>
      <c r="AT41" s="586"/>
      <c r="AU41" s="586"/>
      <c r="AV41" s="586"/>
      <c r="AW41" s="586"/>
      <c r="AX41" s="586"/>
      <c r="AY41" s="586"/>
      <c r="AZ41" s="586"/>
      <c r="BA41" s="586"/>
      <c r="BB41" s="617"/>
    </row>
    <row r="42" spans="2:74" ht="31.5" customHeight="1" x14ac:dyDescent="0.15">
      <c r="B42" s="136"/>
      <c r="C42" s="543" t="s">
        <v>80</v>
      </c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137"/>
      <c r="O42" s="551"/>
      <c r="P42" s="628"/>
      <c r="Q42" s="628"/>
      <c r="R42" s="628"/>
      <c r="S42" s="628"/>
      <c r="T42" s="628"/>
      <c r="U42" s="628"/>
      <c r="V42" s="628"/>
      <c r="W42" s="628"/>
      <c r="X42" s="629"/>
      <c r="Y42" s="540"/>
      <c r="Z42" s="541"/>
      <c r="AA42" s="541"/>
      <c r="AB42" s="541"/>
      <c r="AC42" s="541"/>
      <c r="AD42" s="542"/>
      <c r="AE42" s="560">
        <f>委附表2!AE42</f>
        <v>1.1399999999999999</v>
      </c>
      <c r="AF42" s="561"/>
      <c r="AG42" s="561"/>
      <c r="AH42" s="562"/>
      <c r="AI42" s="575">
        <f>ROUNDDOWN(ROUNDDOWN(Y42,3)*AE42,5)</f>
        <v>0</v>
      </c>
      <c r="AJ42" s="576"/>
      <c r="AK42" s="576"/>
      <c r="AL42" s="576"/>
      <c r="AM42" s="576"/>
      <c r="AN42" s="576"/>
      <c r="AO42" s="576"/>
      <c r="AP42" s="576"/>
      <c r="AQ42" s="576"/>
      <c r="AR42" s="577"/>
      <c r="AS42" s="575">
        <f>O42+AI42</f>
        <v>0</v>
      </c>
      <c r="AT42" s="576"/>
      <c r="AU42" s="576"/>
      <c r="AV42" s="576"/>
      <c r="AW42" s="576"/>
      <c r="AX42" s="576"/>
      <c r="AY42" s="576"/>
      <c r="AZ42" s="576"/>
      <c r="BA42" s="576"/>
      <c r="BB42" s="579"/>
    </row>
    <row r="43" spans="2:74" ht="31.5" customHeight="1" x14ac:dyDescent="0.15">
      <c r="B43" s="136"/>
      <c r="C43" s="543" t="s">
        <v>81</v>
      </c>
      <c r="D43" s="544"/>
      <c r="E43" s="544"/>
      <c r="F43" s="544"/>
      <c r="G43" s="544"/>
      <c r="H43" s="544"/>
      <c r="I43" s="544"/>
      <c r="J43" s="544"/>
      <c r="K43" s="544"/>
      <c r="L43" s="544"/>
      <c r="M43" s="545"/>
      <c r="N43" s="137"/>
      <c r="O43" s="551"/>
      <c r="P43" s="552"/>
      <c r="Q43" s="552"/>
      <c r="R43" s="552"/>
      <c r="S43" s="552"/>
      <c r="T43" s="552"/>
      <c r="U43" s="552"/>
      <c r="V43" s="552"/>
      <c r="W43" s="552"/>
      <c r="X43" s="553"/>
      <c r="Y43" s="540"/>
      <c r="Z43" s="541"/>
      <c r="AA43" s="541"/>
      <c r="AB43" s="541"/>
      <c r="AC43" s="541"/>
      <c r="AD43" s="542"/>
      <c r="AE43" s="560">
        <f>委附表2!AE43</f>
        <v>1.1000000000000001</v>
      </c>
      <c r="AF43" s="561"/>
      <c r="AG43" s="561"/>
      <c r="AH43" s="562"/>
      <c r="AI43" s="575">
        <f t="shared" ref="AI43:AI59" si="2">ROUNDDOWN(ROUNDDOWN(Y43,3)*AE43,5)</f>
        <v>0</v>
      </c>
      <c r="AJ43" s="576"/>
      <c r="AK43" s="576"/>
      <c r="AL43" s="576"/>
      <c r="AM43" s="576"/>
      <c r="AN43" s="576"/>
      <c r="AO43" s="576"/>
      <c r="AP43" s="576"/>
      <c r="AQ43" s="576"/>
      <c r="AR43" s="577"/>
      <c r="AS43" s="575">
        <f t="shared" ref="AS43:AS58" si="3">O43+AI43</f>
        <v>0</v>
      </c>
      <c r="AT43" s="576"/>
      <c r="AU43" s="576"/>
      <c r="AV43" s="576"/>
      <c r="AW43" s="576"/>
      <c r="AX43" s="576"/>
      <c r="AY43" s="576"/>
      <c r="AZ43" s="576"/>
      <c r="BA43" s="576"/>
      <c r="BB43" s="579"/>
    </row>
    <row r="44" spans="2:74" ht="31.5" customHeight="1" x14ac:dyDescent="0.15">
      <c r="B44" s="136"/>
      <c r="C44" s="543" t="s">
        <v>82</v>
      </c>
      <c r="D44" s="544"/>
      <c r="E44" s="544"/>
      <c r="F44" s="544"/>
      <c r="G44" s="544"/>
      <c r="H44" s="544"/>
      <c r="I44" s="544"/>
      <c r="J44" s="544"/>
      <c r="K44" s="544"/>
      <c r="L44" s="544"/>
      <c r="M44" s="545"/>
      <c r="N44" s="137"/>
      <c r="O44" s="551"/>
      <c r="P44" s="552"/>
      <c r="Q44" s="552"/>
      <c r="R44" s="552"/>
      <c r="S44" s="552"/>
      <c r="T44" s="552"/>
      <c r="U44" s="552"/>
      <c r="V44" s="552"/>
      <c r="W44" s="552"/>
      <c r="X44" s="553"/>
      <c r="Y44" s="540"/>
      <c r="Z44" s="541"/>
      <c r="AA44" s="541"/>
      <c r="AB44" s="541"/>
      <c r="AC44" s="541"/>
      <c r="AD44" s="542"/>
      <c r="AE44" s="560">
        <f>委附表2!AE44</f>
        <v>0.9</v>
      </c>
      <c r="AF44" s="561"/>
      <c r="AG44" s="561"/>
      <c r="AH44" s="562"/>
      <c r="AI44" s="575">
        <f t="shared" si="2"/>
        <v>0</v>
      </c>
      <c r="AJ44" s="576"/>
      <c r="AK44" s="576"/>
      <c r="AL44" s="576"/>
      <c r="AM44" s="576"/>
      <c r="AN44" s="576"/>
      <c r="AO44" s="576"/>
      <c r="AP44" s="576"/>
      <c r="AQ44" s="576"/>
      <c r="AR44" s="577"/>
      <c r="AS44" s="575">
        <f t="shared" si="3"/>
        <v>0</v>
      </c>
      <c r="AT44" s="576"/>
      <c r="AU44" s="576"/>
      <c r="AV44" s="576"/>
      <c r="AW44" s="576"/>
      <c r="AX44" s="576"/>
      <c r="AY44" s="576"/>
      <c r="AZ44" s="576"/>
      <c r="BA44" s="576"/>
      <c r="BB44" s="579"/>
    </row>
    <row r="45" spans="2:74" ht="31.5" customHeight="1" x14ac:dyDescent="0.15">
      <c r="B45" s="136"/>
      <c r="C45" s="543" t="s">
        <v>83</v>
      </c>
      <c r="D45" s="544"/>
      <c r="E45" s="544"/>
      <c r="F45" s="544"/>
      <c r="G45" s="544"/>
      <c r="H45" s="544"/>
      <c r="I45" s="544"/>
      <c r="J45" s="544"/>
      <c r="K45" s="544"/>
      <c r="L45" s="544"/>
      <c r="M45" s="545"/>
      <c r="N45" s="137"/>
      <c r="O45" s="551"/>
      <c r="P45" s="552"/>
      <c r="Q45" s="552"/>
      <c r="R45" s="552"/>
      <c r="S45" s="552"/>
      <c r="T45" s="552"/>
      <c r="U45" s="552"/>
      <c r="V45" s="552"/>
      <c r="W45" s="552"/>
      <c r="X45" s="553"/>
      <c r="Y45" s="540"/>
      <c r="Z45" s="541"/>
      <c r="AA45" s="541"/>
      <c r="AB45" s="541"/>
      <c r="AC45" s="541"/>
      <c r="AD45" s="542"/>
      <c r="AE45" s="560">
        <f>委附表2!AE45</f>
        <v>0.35</v>
      </c>
      <c r="AF45" s="561"/>
      <c r="AG45" s="561"/>
      <c r="AH45" s="562"/>
      <c r="AI45" s="575">
        <f t="shared" si="2"/>
        <v>0</v>
      </c>
      <c r="AJ45" s="576"/>
      <c r="AK45" s="576"/>
      <c r="AL45" s="576"/>
      <c r="AM45" s="576"/>
      <c r="AN45" s="576"/>
      <c r="AO45" s="576"/>
      <c r="AP45" s="576"/>
      <c r="AQ45" s="576"/>
      <c r="AR45" s="577"/>
      <c r="AS45" s="575">
        <f t="shared" si="3"/>
        <v>0</v>
      </c>
      <c r="AT45" s="576"/>
      <c r="AU45" s="576"/>
      <c r="AV45" s="576"/>
      <c r="AW45" s="576"/>
      <c r="AX45" s="576"/>
      <c r="AY45" s="576"/>
      <c r="AZ45" s="576"/>
      <c r="BA45" s="576"/>
      <c r="BB45" s="579"/>
    </row>
    <row r="46" spans="2:74" ht="31.5" customHeight="1" x14ac:dyDescent="0.15">
      <c r="B46" s="136"/>
      <c r="C46" s="543" t="s">
        <v>84</v>
      </c>
      <c r="D46" s="544"/>
      <c r="E46" s="544"/>
      <c r="F46" s="544"/>
      <c r="G46" s="544"/>
      <c r="H46" s="544"/>
      <c r="I46" s="544"/>
      <c r="J46" s="544"/>
      <c r="K46" s="544"/>
      <c r="L46" s="544"/>
      <c r="M46" s="545"/>
      <c r="N46" s="137"/>
      <c r="O46" s="551"/>
      <c r="P46" s="552"/>
      <c r="Q46" s="552"/>
      <c r="R46" s="552"/>
      <c r="S46" s="552"/>
      <c r="T46" s="552"/>
      <c r="U46" s="552"/>
      <c r="V46" s="552"/>
      <c r="W46" s="552"/>
      <c r="X46" s="553"/>
      <c r="Y46" s="540"/>
      <c r="Z46" s="541"/>
      <c r="AA46" s="541"/>
      <c r="AB46" s="541"/>
      <c r="AC46" s="541"/>
      <c r="AD46" s="542"/>
      <c r="AE46" s="560">
        <f>委附表2!AE46</f>
        <v>0.3</v>
      </c>
      <c r="AF46" s="561"/>
      <c r="AG46" s="561"/>
      <c r="AH46" s="562"/>
      <c r="AI46" s="575">
        <f t="shared" si="2"/>
        <v>0</v>
      </c>
      <c r="AJ46" s="576"/>
      <c r="AK46" s="576"/>
      <c r="AL46" s="576"/>
      <c r="AM46" s="576"/>
      <c r="AN46" s="576"/>
      <c r="AO46" s="576"/>
      <c r="AP46" s="576"/>
      <c r="AQ46" s="576"/>
      <c r="AR46" s="577"/>
      <c r="AS46" s="575">
        <f t="shared" si="3"/>
        <v>0</v>
      </c>
      <c r="AT46" s="576"/>
      <c r="AU46" s="576"/>
      <c r="AV46" s="576"/>
      <c r="AW46" s="576"/>
      <c r="AX46" s="576"/>
      <c r="AY46" s="576"/>
      <c r="AZ46" s="576"/>
      <c r="BA46" s="576"/>
      <c r="BB46" s="579"/>
    </row>
    <row r="47" spans="2:74" ht="31.5" customHeight="1" x14ac:dyDescent="0.15">
      <c r="B47" s="136"/>
      <c r="C47" s="543" t="s">
        <v>85</v>
      </c>
      <c r="D47" s="544"/>
      <c r="E47" s="544"/>
      <c r="F47" s="544"/>
      <c r="G47" s="544"/>
      <c r="H47" s="544"/>
      <c r="I47" s="544"/>
      <c r="J47" s="544"/>
      <c r="K47" s="544"/>
      <c r="L47" s="544"/>
      <c r="M47" s="545"/>
      <c r="N47" s="137"/>
      <c r="O47" s="551"/>
      <c r="P47" s="552"/>
      <c r="Q47" s="552"/>
      <c r="R47" s="552"/>
      <c r="S47" s="552"/>
      <c r="T47" s="552"/>
      <c r="U47" s="552"/>
      <c r="V47" s="552"/>
      <c r="W47" s="552"/>
      <c r="X47" s="553"/>
      <c r="Y47" s="540"/>
      <c r="Z47" s="541"/>
      <c r="AA47" s="541"/>
      <c r="AB47" s="541"/>
      <c r="AC47" s="541"/>
      <c r="AD47" s="542"/>
      <c r="AE47" s="560">
        <f>委附表2!AE47</f>
        <v>0.55000000000000004</v>
      </c>
      <c r="AF47" s="561"/>
      <c r="AG47" s="561"/>
      <c r="AH47" s="562"/>
      <c r="AI47" s="575">
        <f t="shared" si="2"/>
        <v>0</v>
      </c>
      <c r="AJ47" s="576"/>
      <c r="AK47" s="576"/>
      <c r="AL47" s="576"/>
      <c r="AM47" s="576"/>
      <c r="AN47" s="576"/>
      <c r="AO47" s="576"/>
      <c r="AP47" s="576"/>
      <c r="AQ47" s="576"/>
      <c r="AR47" s="577"/>
      <c r="AS47" s="575">
        <f t="shared" si="3"/>
        <v>0</v>
      </c>
      <c r="AT47" s="576"/>
      <c r="AU47" s="576"/>
      <c r="AV47" s="576"/>
      <c r="AW47" s="576"/>
      <c r="AX47" s="576"/>
      <c r="AY47" s="576"/>
      <c r="AZ47" s="576"/>
      <c r="BA47" s="576"/>
      <c r="BB47" s="579"/>
    </row>
    <row r="48" spans="2:74" ht="31.5" customHeight="1" x14ac:dyDescent="0.15">
      <c r="B48" s="136"/>
      <c r="C48" s="543" t="s">
        <v>86</v>
      </c>
      <c r="D48" s="544"/>
      <c r="E48" s="544"/>
      <c r="F48" s="544"/>
      <c r="G48" s="544"/>
      <c r="H48" s="544"/>
      <c r="I48" s="544"/>
      <c r="J48" s="544"/>
      <c r="K48" s="544"/>
      <c r="L48" s="544"/>
      <c r="M48" s="545"/>
      <c r="N48" s="137"/>
      <c r="O48" s="551"/>
      <c r="P48" s="552"/>
      <c r="Q48" s="552"/>
      <c r="R48" s="552"/>
      <c r="S48" s="552"/>
      <c r="T48" s="552"/>
      <c r="U48" s="552"/>
      <c r="V48" s="552"/>
      <c r="W48" s="552"/>
      <c r="X48" s="553"/>
      <c r="Y48" s="540"/>
      <c r="Z48" s="541"/>
      <c r="AA48" s="541"/>
      <c r="AB48" s="541"/>
      <c r="AC48" s="541"/>
      <c r="AD48" s="542"/>
      <c r="AE48" s="560">
        <f>委附表2!AE48</f>
        <v>0.12</v>
      </c>
      <c r="AF48" s="561"/>
      <c r="AG48" s="561"/>
      <c r="AH48" s="562"/>
      <c r="AI48" s="575">
        <f t="shared" si="2"/>
        <v>0</v>
      </c>
      <c r="AJ48" s="576"/>
      <c r="AK48" s="576"/>
      <c r="AL48" s="576"/>
      <c r="AM48" s="576"/>
      <c r="AN48" s="576"/>
      <c r="AO48" s="576"/>
      <c r="AP48" s="576"/>
      <c r="AQ48" s="576"/>
      <c r="AR48" s="577"/>
      <c r="AS48" s="575">
        <f t="shared" si="3"/>
        <v>0</v>
      </c>
      <c r="AT48" s="576"/>
      <c r="AU48" s="576"/>
      <c r="AV48" s="576"/>
      <c r="AW48" s="576"/>
      <c r="AX48" s="576"/>
      <c r="AY48" s="576"/>
      <c r="AZ48" s="576"/>
      <c r="BA48" s="576"/>
      <c r="BB48" s="579"/>
    </row>
    <row r="49" spans="2:54" ht="31.5" customHeight="1" x14ac:dyDescent="0.15">
      <c r="B49" s="136"/>
      <c r="C49" s="546" t="s">
        <v>87</v>
      </c>
      <c r="D49" s="546"/>
      <c r="E49" s="546"/>
      <c r="F49" s="546"/>
      <c r="G49" s="546"/>
      <c r="H49" s="546"/>
      <c r="I49" s="546"/>
      <c r="J49" s="546"/>
      <c r="K49" s="546"/>
      <c r="L49" s="546"/>
      <c r="M49" s="547"/>
      <c r="N49" s="137"/>
      <c r="O49" s="551"/>
      <c r="P49" s="552"/>
      <c r="Q49" s="552"/>
      <c r="R49" s="552"/>
      <c r="S49" s="552"/>
      <c r="T49" s="552"/>
      <c r="U49" s="552"/>
      <c r="V49" s="552"/>
      <c r="W49" s="552"/>
      <c r="X49" s="553"/>
      <c r="Y49" s="540"/>
      <c r="Z49" s="541"/>
      <c r="AA49" s="541"/>
      <c r="AB49" s="541"/>
      <c r="AC49" s="541"/>
      <c r="AD49" s="542"/>
      <c r="AE49" s="560">
        <f>委附表2!AE49</f>
        <v>1</v>
      </c>
      <c r="AF49" s="561"/>
      <c r="AG49" s="561"/>
      <c r="AH49" s="562"/>
      <c r="AI49" s="575">
        <f t="shared" si="2"/>
        <v>0</v>
      </c>
      <c r="AJ49" s="576"/>
      <c r="AK49" s="576"/>
      <c r="AL49" s="576"/>
      <c r="AM49" s="576"/>
      <c r="AN49" s="576"/>
      <c r="AO49" s="576"/>
      <c r="AP49" s="576"/>
      <c r="AQ49" s="576"/>
      <c r="AR49" s="577"/>
      <c r="AS49" s="575">
        <f t="shared" si="3"/>
        <v>0</v>
      </c>
      <c r="AT49" s="576"/>
      <c r="AU49" s="576"/>
      <c r="AV49" s="576"/>
      <c r="AW49" s="576"/>
      <c r="AX49" s="576"/>
      <c r="AY49" s="576"/>
      <c r="AZ49" s="576"/>
      <c r="BA49" s="576"/>
      <c r="BB49" s="579"/>
    </row>
    <row r="50" spans="2:54" ht="31.5" customHeight="1" x14ac:dyDescent="0.15">
      <c r="B50" s="136"/>
      <c r="C50" s="548" t="s">
        <v>88</v>
      </c>
      <c r="D50" s="549"/>
      <c r="E50" s="549"/>
      <c r="F50" s="549"/>
      <c r="G50" s="549"/>
      <c r="H50" s="549"/>
      <c r="I50" s="549"/>
      <c r="J50" s="549"/>
      <c r="K50" s="549"/>
      <c r="L50" s="549"/>
      <c r="M50" s="550"/>
      <c r="N50" s="137"/>
      <c r="O50" s="551"/>
      <c r="P50" s="552"/>
      <c r="Q50" s="552"/>
      <c r="R50" s="552"/>
      <c r="S50" s="552"/>
      <c r="T50" s="552"/>
      <c r="U50" s="552"/>
      <c r="V50" s="552"/>
      <c r="W50" s="552"/>
      <c r="X50" s="553"/>
      <c r="Y50" s="540"/>
      <c r="Z50" s="541"/>
      <c r="AA50" s="541"/>
      <c r="AB50" s="541"/>
      <c r="AC50" s="541"/>
      <c r="AD50" s="542"/>
      <c r="AE50" s="560">
        <f>委附表2!AE50</f>
        <v>1</v>
      </c>
      <c r="AF50" s="561"/>
      <c r="AG50" s="561"/>
      <c r="AH50" s="562"/>
      <c r="AI50" s="575">
        <f t="shared" si="2"/>
        <v>0</v>
      </c>
      <c r="AJ50" s="576"/>
      <c r="AK50" s="576"/>
      <c r="AL50" s="576"/>
      <c r="AM50" s="576"/>
      <c r="AN50" s="576"/>
      <c r="AO50" s="576"/>
      <c r="AP50" s="576"/>
      <c r="AQ50" s="576"/>
      <c r="AR50" s="577"/>
      <c r="AS50" s="575">
        <f t="shared" si="3"/>
        <v>0</v>
      </c>
      <c r="AT50" s="576"/>
      <c r="AU50" s="576"/>
      <c r="AV50" s="576"/>
      <c r="AW50" s="576"/>
      <c r="AX50" s="576"/>
      <c r="AY50" s="576"/>
      <c r="AZ50" s="576"/>
      <c r="BA50" s="576"/>
      <c r="BB50" s="579"/>
    </row>
    <row r="51" spans="2:54" ht="31.5" customHeight="1" x14ac:dyDescent="0.15">
      <c r="B51" s="136"/>
      <c r="C51" s="543" t="s">
        <v>103</v>
      </c>
      <c r="D51" s="544"/>
      <c r="E51" s="544"/>
      <c r="F51" s="544"/>
      <c r="G51" s="544"/>
      <c r="H51" s="544"/>
      <c r="I51" s="544"/>
      <c r="J51" s="544"/>
      <c r="K51" s="544"/>
      <c r="L51" s="544"/>
      <c r="M51" s="545"/>
      <c r="N51" s="137"/>
      <c r="O51" s="551"/>
      <c r="P51" s="552"/>
      <c r="Q51" s="552"/>
      <c r="R51" s="552"/>
      <c r="S51" s="552"/>
      <c r="T51" s="552"/>
      <c r="U51" s="552"/>
      <c r="V51" s="552"/>
      <c r="W51" s="552"/>
      <c r="X51" s="553"/>
      <c r="Y51" s="540"/>
      <c r="Z51" s="541"/>
      <c r="AA51" s="541"/>
      <c r="AB51" s="541"/>
      <c r="AC51" s="541"/>
      <c r="AD51" s="542"/>
      <c r="AE51" s="560">
        <f>委附表2!AE51</f>
        <v>0.52</v>
      </c>
      <c r="AF51" s="561"/>
      <c r="AG51" s="561"/>
      <c r="AH51" s="562"/>
      <c r="AI51" s="575">
        <f t="shared" si="2"/>
        <v>0</v>
      </c>
      <c r="AJ51" s="576"/>
      <c r="AK51" s="576"/>
      <c r="AL51" s="576"/>
      <c r="AM51" s="576"/>
      <c r="AN51" s="576"/>
      <c r="AO51" s="576"/>
      <c r="AP51" s="576"/>
      <c r="AQ51" s="576"/>
      <c r="AR51" s="577"/>
      <c r="AS51" s="575">
        <f t="shared" si="3"/>
        <v>0</v>
      </c>
      <c r="AT51" s="576"/>
      <c r="AU51" s="576"/>
      <c r="AV51" s="576"/>
      <c r="AW51" s="576"/>
      <c r="AX51" s="576"/>
      <c r="AY51" s="576"/>
      <c r="AZ51" s="576"/>
      <c r="BA51" s="576"/>
      <c r="BB51" s="579"/>
    </row>
    <row r="52" spans="2:54" ht="31.5" customHeight="1" x14ac:dyDescent="0.15">
      <c r="B52" s="136"/>
      <c r="C52" s="543" t="s">
        <v>89</v>
      </c>
      <c r="D52" s="544"/>
      <c r="E52" s="544"/>
      <c r="F52" s="544"/>
      <c r="G52" s="544"/>
      <c r="H52" s="544"/>
      <c r="I52" s="544"/>
      <c r="J52" s="544"/>
      <c r="K52" s="544"/>
      <c r="L52" s="544"/>
      <c r="M52" s="545"/>
      <c r="N52" s="137"/>
      <c r="O52" s="551"/>
      <c r="P52" s="552"/>
      <c r="Q52" s="552"/>
      <c r="R52" s="552"/>
      <c r="S52" s="552"/>
      <c r="T52" s="552"/>
      <c r="U52" s="552"/>
      <c r="V52" s="552"/>
      <c r="W52" s="552"/>
      <c r="X52" s="553"/>
      <c r="Y52" s="540"/>
      <c r="Z52" s="541"/>
      <c r="AA52" s="541"/>
      <c r="AB52" s="541"/>
      <c r="AC52" s="541"/>
      <c r="AD52" s="542"/>
      <c r="AE52" s="560">
        <f>委附表2!AE52</f>
        <v>1.1299999999999999</v>
      </c>
      <c r="AF52" s="561"/>
      <c r="AG52" s="561"/>
      <c r="AH52" s="562"/>
      <c r="AI52" s="575">
        <f t="shared" si="2"/>
        <v>0</v>
      </c>
      <c r="AJ52" s="576"/>
      <c r="AK52" s="576"/>
      <c r="AL52" s="576"/>
      <c r="AM52" s="576"/>
      <c r="AN52" s="576"/>
      <c r="AO52" s="576"/>
      <c r="AP52" s="576"/>
      <c r="AQ52" s="576"/>
      <c r="AR52" s="577"/>
      <c r="AS52" s="575">
        <f t="shared" si="3"/>
        <v>0</v>
      </c>
      <c r="AT52" s="576"/>
      <c r="AU52" s="576"/>
      <c r="AV52" s="576"/>
      <c r="AW52" s="576"/>
      <c r="AX52" s="576"/>
      <c r="AY52" s="576"/>
      <c r="AZ52" s="576"/>
      <c r="BA52" s="576"/>
      <c r="BB52" s="579"/>
    </row>
    <row r="53" spans="2:54" ht="31.5" customHeight="1" x14ac:dyDescent="0.15">
      <c r="B53" s="136"/>
      <c r="C53" s="543" t="s">
        <v>90</v>
      </c>
      <c r="D53" s="544"/>
      <c r="E53" s="544"/>
      <c r="F53" s="544"/>
      <c r="G53" s="544"/>
      <c r="H53" s="544"/>
      <c r="I53" s="544"/>
      <c r="J53" s="544"/>
      <c r="K53" s="544"/>
      <c r="L53" s="544"/>
      <c r="M53" s="583"/>
      <c r="N53" s="137"/>
      <c r="O53" s="551"/>
      <c r="P53" s="552"/>
      <c r="Q53" s="552"/>
      <c r="R53" s="552"/>
      <c r="S53" s="552"/>
      <c r="T53" s="552"/>
      <c r="U53" s="552"/>
      <c r="V53" s="552"/>
      <c r="W53" s="552"/>
      <c r="X53" s="553"/>
      <c r="Y53" s="540"/>
      <c r="Z53" s="541"/>
      <c r="AA53" s="541"/>
      <c r="AB53" s="541"/>
      <c r="AC53" s="541"/>
      <c r="AD53" s="542"/>
      <c r="AE53" s="560">
        <f>委附表2!AE53</f>
        <v>1</v>
      </c>
      <c r="AF53" s="561"/>
      <c r="AG53" s="561"/>
      <c r="AH53" s="562"/>
      <c r="AI53" s="575">
        <f t="shared" si="2"/>
        <v>0</v>
      </c>
      <c r="AJ53" s="576"/>
      <c r="AK53" s="576"/>
      <c r="AL53" s="576"/>
      <c r="AM53" s="576"/>
      <c r="AN53" s="576"/>
      <c r="AO53" s="576"/>
      <c r="AP53" s="576"/>
      <c r="AQ53" s="576"/>
      <c r="AR53" s="577"/>
      <c r="AS53" s="575">
        <f t="shared" si="3"/>
        <v>0</v>
      </c>
      <c r="AT53" s="576"/>
      <c r="AU53" s="576"/>
      <c r="AV53" s="576"/>
      <c r="AW53" s="576"/>
      <c r="AX53" s="576"/>
      <c r="AY53" s="576"/>
      <c r="AZ53" s="576"/>
      <c r="BA53" s="576"/>
      <c r="BB53" s="579"/>
    </row>
    <row r="54" spans="2:54" ht="31.5" customHeight="1" x14ac:dyDescent="0.15">
      <c r="B54" s="136"/>
      <c r="C54" s="543" t="s">
        <v>91</v>
      </c>
      <c r="D54" s="544"/>
      <c r="E54" s="544"/>
      <c r="F54" s="544"/>
      <c r="G54" s="544"/>
      <c r="H54" s="544"/>
      <c r="I54" s="544"/>
      <c r="J54" s="544"/>
      <c r="K54" s="544"/>
      <c r="L54" s="544"/>
      <c r="M54" s="545"/>
      <c r="N54" s="137"/>
      <c r="O54" s="551"/>
      <c r="P54" s="552"/>
      <c r="Q54" s="552"/>
      <c r="R54" s="552"/>
      <c r="S54" s="552"/>
      <c r="T54" s="552"/>
      <c r="U54" s="552"/>
      <c r="V54" s="552"/>
      <c r="W54" s="552"/>
      <c r="X54" s="553"/>
      <c r="Y54" s="540"/>
      <c r="Z54" s="541"/>
      <c r="AA54" s="541"/>
      <c r="AB54" s="541"/>
      <c r="AC54" s="541"/>
      <c r="AD54" s="542"/>
      <c r="AE54" s="560">
        <f>委附表2!AE54</f>
        <v>1.93</v>
      </c>
      <c r="AF54" s="561"/>
      <c r="AG54" s="561"/>
      <c r="AH54" s="562"/>
      <c r="AI54" s="575">
        <f t="shared" si="2"/>
        <v>0</v>
      </c>
      <c r="AJ54" s="576"/>
      <c r="AK54" s="576"/>
      <c r="AL54" s="576"/>
      <c r="AM54" s="576"/>
      <c r="AN54" s="576"/>
      <c r="AO54" s="576"/>
      <c r="AP54" s="576"/>
      <c r="AQ54" s="576"/>
      <c r="AR54" s="577"/>
      <c r="AS54" s="575">
        <f t="shared" si="3"/>
        <v>0</v>
      </c>
      <c r="AT54" s="576"/>
      <c r="AU54" s="576"/>
      <c r="AV54" s="576"/>
      <c r="AW54" s="576"/>
      <c r="AX54" s="576"/>
      <c r="AY54" s="576"/>
      <c r="AZ54" s="576"/>
      <c r="BA54" s="576"/>
      <c r="BB54" s="579"/>
    </row>
    <row r="55" spans="2:54" ht="31.5" customHeight="1" x14ac:dyDescent="0.15">
      <c r="B55" s="136"/>
      <c r="C55" s="543" t="s">
        <v>92</v>
      </c>
      <c r="D55" s="544"/>
      <c r="E55" s="544"/>
      <c r="F55" s="544"/>
      <c r="G55" s="544"/>
      <c r="H55" s="544"/>
      <c r="I55" s="544"/>
      <c r="J55" s="544"/>
      <c r="K55" s="544"/>
      <c r="L55" s="544"/>
      <c r="M55" s="583"/>
      <c r="N55" s="137"/>
      <c r="O55" s="551"/>
      <c r="P55" s="552"/>
      <c r="Q55" s="552"/>
      <c r="R55" s="552"/>
      <c r="S55" s="552"/>
      <c r="T55" s="552"/>
      <c r="U55" s="552"/>
      <c r="V55" s="552"/>
      <c r="W55" s="552"/>
      <c r="X55" s="553"/>
      <c r="Y55" s="540"/>
      <c r="Z55" s="541"/>
      <c r="AA55" s="541"/>
      <c r="AB55" s="541"/>
      <c r="AC55" s="541"/>
      <c r="AD55" s="542"/>
      <c r="AE55" s="560">
        <f>委附表2!AE55</f>
        <v>1.48</v>
      </c>
      <c r="AF55" s="561"/>
      <c r="AG55" s="561"/>
      <c r="AH55" s="562"/>
      <c r="AI55" s="575">
        <f t="shared" si="2"/>
        <v>0</v>
      </c>
      <c r="AJ55" s="576"/>
      <c r="AK55" s="576"/>
      <c r="AL55" s="576"/>
      <c r="AM55" s="576"/>
      <c r="AN55" s="576"/>
      <c r="AO55" s="576"/>
      <c r="AP55" s="576"/>
      <c r="AQ55" s="576"/>
      <c r="AR55" s="577"/>
      <c r="AS55" s="575">
        <f t="shared" si="3"/>
        <v>0</v>
      </c>
      <c r="AT55" s="576"/>
      <c r="AU55" s="576"/>
      <c r="AV55" s="576"/>
      <c r="AW55" s="576"/>
      <c r="AX55" s="576"/>
      <c r="AY55" s="576"/>
      <c r="AZ55" s="576"/>
      <c r="BA55" s="576"/>
      <c r="BB55" s="579"/>
    </row>
    <row r="56" spans="2:54" ht="31.5" customHeight="1" x14ac:dyDescent="0.15">
      <c r="B56" s="136"/>
      <c r="C56" s="543" t="s">
        <v>93</v>
      </c>
      <c r="D56" s="544"/>
      <c r="E56" s="544"/>
      <c r="F56" s="544"/>
      <c r="G56" s="544"/>
      <c r="H56" s="544"/>
      <c r="I56" s="544"/>
      <c r="J56" s="544"/>
      <c r="K56" s="544"/>
      <c r="L56" s="544"/>
      <c r="M56" s="545"/>
      <c r="N56" s="137"/>
      <c r="O56" s="551"/>
      <c r="P56" s="552"/>
      <c r="Q56" s="552"/>
      <c r="R56" s="552"/>
      <c r="S56" s="552"/>
      <c r="T56" s="552"/>
      <c r="U56" s="552"/>
      <c r="V56" s="552"/>
      <c r="W56" s="552"/>
      <c r="X56" s="553"/>
      <c r="Y56" s="540"/>
      <c r="Z56" s="541"/>
      <c r="AA56" s="541"/>
      <c r="AB56" s="541"/>
      <c r="AC56" s="541"/>
      <c r="AD56" s="542"/>
      <c r="AE56" s="560">
        <f>委附表2!AE56</f>
        <v>1</v>
      </c>
      <c r="AF56" s="561"/>
      <c r="AG56" s="561"/>
      <c r="AH56" s="562"/>
      <c r="AI56" s="575">
        <f t="shared" si="2"/>
        <v>0</v>
      </c>
      <c r="AJ56" s="576"/>
      <c r="AK56" s="576"/>
      <c r="AL56" s="576"/>
      <c r="AM56" s="576"/>
      <c r="AN56" s="576"/>
      <c r="AO56" s="576"/>
      <c r="AP56" s="576"/>
      <c r="AQ56" s="576"/>
      <c r="AR56" s="577"/>
      <c r="AS56" s="575">
        <f t="shared" si="3"/>
        <v>0</v>
      </c>
      <c r="AT56" s="576"/>
      <c r="AU56" s="576"/>
      <c r="AV56" s="576"/>
      <c r="AW56" s="576"/>
      <c r="AX56" s="576"/>
      <c r="AY56" s="576"/>
      <c r="AZ56" s="576"/>
      <c r="BA56" s="576"/>
      <c r="BB56" s="579"/>
    </row>
    <row r="57" spans="2:54" ht="31.5" customHeight="1" x14ac:dyDescent="0.15">
      <c r="B57" s="136"/>
      <c r="C57" s="543" t="s">
        <v>94</v>
      </c>
      <c r="D57" s="544"/>
      <c r="E57" s="544"/>
      <c r="F57" s="544"/>
      <c r="G57" s="544"/>
      <c r="H57" s="544"/>
      <c r="I57" s="544"/>
      <c r="J57" s="544"/>
      <c r="K57" s="544"/>
      <c r="L57" s="544"/>
      <c r="M57" s="545"/>
      <c r="N57" s="137"/>
      <c r="O57" s="551"/>
      <c r="P57" s="552"/>
      <c r="Q57" s="552"/>
      <c r="R57" s="552"/>
      <c r="S57" s="552"/>
      <c r="T57" s="552"/>
      <c r="U57" s="552"/>
      <c r="V57" s="552"/>
      <c r="W57" s="552"/>
      <c r="X57" s="553"/>
      <c r="Y57" s="540"/>
      <c r="Z57" s="541"/>
      <c r="AA57" s="541"/>
      <c r="AB57" s="541"/>
      <c r="AC57" s="541"/>
      <c r="AD57" s="542"/>
      <c r="AE57" s="560">
        <f>委附表2!AE57</f>
        <v>1</v>
      </c>
      <c r="AF57" s="561"/>
      <c r="AG57" s="561"/>
      <c r="AH57" s="562"/>
      <c r="AI57" s="575">
        <f t="shared" si="2"/>
        <v>0</v>
      </c>
      <c r="AJ57" s="576"/>
      <c r="AK57" s="576"/>
      <c r="AL57" s="576"/>
      <c r="AM57" s="576"/>
      <c r="AN57" s="576"/>
      <c r="AO57" s="576"/>
      <c r="AP57" s="576"/>
      <c r="AQ57" s="576"/>
      <c r="AR57" s="577"/>
      <c r="AS57" s="575">
        <f t="shared" si="3"/>
        <v>0</v>
      </c>
      <c r="AT57" s="576"/>
      <c r="AU57" s="576"/>
      <c r="AV57" s="576"/>
      <c r="AW57" s="576"/>
      <c r="AX57" s="576"/>
      <c r="AY57" s="576"/>
      <c r="AZ57" s="576"/>
      <c r="BA57" s="576"/>
      <c r="BB57" s="579"/>
    </row>
    <row r="58" spans="2:54" ht="31.5" customHeight="1" x14ac:dyDescent="0.15">
      <c r="B58" s="136"/>
      <c r="C58" s="548" t="s">
        <v>104</v>
      </c>
      <c r="D58" s="549"/>
      <c r="E58" s="549"/>
      <c r="F58" s="549"/>
      <c r="G58" s="549"/>
      <c r="H58" s="549"/>
      <c r="I58" s="549"/>
      <c r="J58" s="549"/>
      <c r="K58" s="549"/>
      <c r="L58" s="549"/>
      <c r="M58" s="550"/>
      <c r="N58" s="137"/>
      <c r="O58" s="551"/>
      <c r="P58" s="552"/>
      <c r="Q58" s="552"/>
      <c r="R58" s="552"/>
      <c r="S58" s="552"/>
      <c r="T58" s="552"/>
      <c r="U58" s="552"/>
      <c r="V58" s="552"/>
      <c r="W58" s="552"/>
      <c r="X58" s="553"/>
      <c r="Y58" s="540"/>
      <c r="Z58" s="541"/>
      <c r="AA58" s="541"/>
      <c r="AB58" s="541"/>
      <c r="AC58" s="541"/>
      <c r="AD58" s="542"/>
      <c r="AE58" s="560">
        <f>委附表2!AE58</f>
        <v>1.26</v>
      </c>
      <c r="AF58" s="561"/>
      <c r="AG58" s="561"/>
      <c r="AH58" s="562"/>
      <c r="AI58" s="575">
        <f t="shared" si="2"/>
        <v>0</v>
      </c>
      <c r="AJ58" s="576"/>
      <c r="AK58" s="576"/>
      <c r="AL58" s="576"/>
      <c r="AM58" s="576"/>
      <c r="AN58" s="576"/>
      <c r="AO58" s="576"/>
      <c r="AP58" s="576"/>
      <c r="AQ58" s="576"/>
      <c r="AR58" s="577"/>
      <c r="AS58" s="575">
        <f t="shared" si="3"/>
        <v>0</v>
      </c>
      <c r="AT58" s="576"/>
      <c r="AU58" s="576"/>
      <c r="AV58" s="576"/>
      <c r="AW58" s="576"/>
      <c r="AX58" s="576"/>
      <c r="AY58" s="576"/>
      <c r="AZ58" s="576"/>
      <c r="BA58" s="576"/>
      <c r="BB58" s="579"/>
    </row>
    <row r="59" spans="2:54" ht="43.5" customHeight="1" thickBot="1" x14ac:dyDescent="0.2">
      <c r="B59" s="138"/>
      <c r="C59" s="548" t="s">
        <v>95</v>
      </c>
      <c r="D59" s="549"/>
      <c r="E59" s="549"/>
      <c r="F59" s="549"/>
      <c r="G59" s="549"/>
      <c r="H59" s="549"/>
      <c r="I59" s="549"/>
      <c r="J59" s="549"/>
      <c r="K59" s="549"/>
      <c r="L59" s="549"/>
      <c r="M59" s="550"/>
      <c r="N59" s="134"/>
      <c r="O59" s="580"/>
      <c r="P59" s="581"/>
      <c r="Q59" s="581"/>
      <c r="R59" s="581"/>
      <c r="S59" s="581"/>
      <c r="T59" s="581"/>
      <c r="U59" s="581"/>
      <c r="V59" s="581"/>
      <c r="W59" s="581"/>
      <c r="X59" s="582"/>
      <c r="Y59" s="540"/>
      <c r="Z59" s="541"/>
      <c r="AA59" s="541"/>
      <c r="AB59" s="541"/>
      <c r="AC59" s="541"/>
      <c r="AD59" s="542"/>
      <c r="AE59" s="563">
        <f>委附表2!AE59</f>
        <v>1</v>
      </c>
      <c r="AF59" s="564"/>
      <c r="AG59" s="564"/>
      <c r="AH59" s="565"/>
      <c r="AI59" s="575">
        <f t="shared" si="2"/>
        <v>0</v>
      </c>
      <c r="AJ59" s="576"/>
      <c r="AK59" s="576"/>
      <c r="AL59" s="576"/>
      <c r="AM59" s="576"/>
      <c r="AN59" s="576"/>
      <c r="AO59" s="576"/>
      <c r="AP59" s="576"/>
      <c r="AQ59" s="576"/>
      <c r="AR59" s="577"/>
      <c r="AS59" s="575">
        <f>O59+AI59</f>
        <v>0</v>
      </c>
      <c r="AT59" s="576"/>
      <c r="AU59" s="576"/>
      <c r="AV59" s="576"/>
      <c r="AW59" s="576"/>
      <c r="AX59" s="576"/>
      <c r="AY59" s="576"/>
      <c r="AZ59" s="576"/>
      <c r="BA59" s="576"/>
      <c r="BB59" s="579"/>
    </row>
    <row r="60" spans="2:54" ht="31.5" customHeight="1" thickTop="1" x14ac:dyDescent="0.15">
      <c r="B60" s="139"/>
      <c r="C60" s="569" t="s">
        <v>96</v>
      </c>
      <c r="D60" s="570"/>
      <c r="E60" s="570"/>
      <c r="F60" s="570"/>
      <c r="G60" s="570"/>
      <c r="H60" s="570"/>
      <c r="I60" s="570"/>
      <c r="J60" s="570"/>
      <c r="K60" s="570"/>
      <c r="L60" s="570"/>
      <c r="M60" s="571"/>
      <c r="N60" s="140"/>
      <c r="O60" s="572">
        <f>SUM(O42:X59)</f>
        <v>0</v>
      </c>
      <c r="P60" s="573"/>
      <c r="Q60" s="573"/>
      <c r="R60" s="573"/>
      <c r="S60" s="573"/>
      <c r="T60" s="573"/>
      <c r="U60" s="573"/>
      <c r="V60" s="573"/>
      <c r="W60" s="573"/>
      <c r="X60" s="574"/>
      <c r="Y60" s="566">
        <f>SUM(Y42:AD59)</f>
        <v>0</v>
      </c>
      <c r="Z60" s="567"/>
      <c r="AA60" s="567"/>
      <c r="AB60" s="567"/>
      <c r="AC60" s="567"/>
      <c r="AD60" s="568"/>
      <c r="AE60" s="557"/>
      <c r="AF60" s="558"/>
      <c r="AG60" s="558"/>
      <c r="AH60" s="559"/>
      <c r="AI60" s="554">
        <f>SUM(AI42:AR59)</f>
        <v>0</v>
      </c>
      <c r="AJ60" s="555"/>
      <c r="AK60" s="555"/>
      <c r="AL60" s="555"/>
      <c r="AM60" s="555"/>
      <c r="AN60" s="555"/>
      <c r="AO60" s="555"/>
      <c r="AP60" s="555"/>
      <c r="AQ60" s="555"/>
      <c r="AR60" s="578"/>
      <c r="AS60" s="554">
        <f>SUM(AS42:BB59)</f>
        <v>0</v>
      </c>
      <c r="AT60" s="555"/>
      <c r="AU60" s="555"/>
      <c r="AV60" s="555"/>
      <c r="AW60" s="555"/>
      <c r="AX60" s="555"/>
      <c r="AY60" s="555"/>
      <c r="AZ60" s="555"/>
      <c r="BA60" s="555"/>
      <c r="BB60" s="556"/>
    </row>
    <row r="61" spans="2:54" ht="6" customHeight="1" x14ac:dyDescent="0.15"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5"/>
      <c r="N61" s="135"/>
      <c r="O61" s="141"/>
      <c r="P61" s="135"/>
      <c r="Q61" s="135"/>
      <c r="R61" s="135"/>
      <c r="S61" s="135"/>
      <c r="T61" s="135"/>
      <c r="U61" s="135"/>
      <c r="V61" s="135"/>
      <c r="W61" s="135"/>
      <c r="X61" s="135"/>
      <c r="AE61" s="142"/>
      <c r="AF61" s="143"/>
      <c r="AG61" s="143"/>
      <c r="AH61" s="143"/>
      <c r="AI61" s="141"/>
      <c r="AJ61" s="144"/>
      <c r="AK61" s="144"/>
      <c r="AL61" s="144"/>
      <c r="AM61" s="144"/>
      <c r="AN61" s="144"/>
      <c r="AO61" s="144"/>
      <c r="AP61" s="144"/>
      <c r="AQ61" s="144"/>
      <c r="AR61" s="144"/>
      <c r="AS61" s="141"/>
      <c r="AT61" s="144"/>
      <c r="AU61" s="144"/>
      <c r="AV61" s="144"/>
      <c r="AW61" s="144"/>
      <c r="AX61" s="144"/>
      <c r="AY61" s="144"/>
      <c r="AZ61" s="144"/>
      <c r="BA61" s="144"/>
      <c r="BB61" s="144"/>
    </row>
    <row r="62" spans="2:54" ht="13.5" customHeight="1" x14ac:dyDescent="0.15">
      <c r="B62" s="538" t="s">
        <v>97</v>
      </c>
      <c r="C62" s="538"/>
      <c r="D62" s="538"/>
      <c r="E62" s="539" t="s">
        <v>105</v>
      </c>
      <c r="F62" s="539"/>
      <c r="G62" s="539"/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  <c r="AA62" s="539"/>
      <c r="AB62" s="539"/>
      <c r="AC62" s="539"/>
      <c r="AD62" s="539"/>
      <c r="AE62" s="539"/>
      <c r="AF62" s="539"/>
      <c r="AG62" s="539"/>
      <c r="AH62" s="539"/>
      <c r="AI62" s="539"/>
      <c r="AJ62" s="539"/>
      <c r="AK62" s="539"/>
      <c r="AL62" s="539"/>
      <c r="AM62" s="539"/>
      <c r="AN62" s="539"/>
      <c r="AO62" s="539"/>
      <c r="AP62" s="539"/>
      <c r="AQ62" s="539"/>
      <c r="AR62" s="539"/>
      <c r="AS62" s="539"/>
      <c r="AT62" s="539"/>
      <c r="AU62" s="539"/>
      <c r="AV62" s="539"/>
      <c r="AW62" s="539"/>
      <c r="AX62" s="539"/>
      <c r="AY62" s="539"/>
      <c r="AZ62" s="539"/>
      <c r="BA62" s="539"/>
      <c r="BB62" s="539"/>
    </row>
    <row r="63" spans="2:54" ht="13.5" customHeight="1" x14ac:dyDescent="0.15">
      <c r="B63" s="145"/>
      <c r="E63" s="539" t="s">
        <v>98</v>
      </c>
      <c r="F63" s="539"/>
      <c r="G63" s="539"/>
      <c r="H63" s="539"/>
      <c r="I63" s="539"/>
      <c r="J63" s="539"/>
      <c r="K63" s="539"/>
      <c r="L63" s="539"/>
      <c r="M63" s="539"/>
      <c r="N63" s="539"/>
      <c r="O63" s="539"/>
      <c r="P63" s="539"/>
      <c r="Q63" s="539"/>
      <c r="R63" s="539"/>
      <c r="S63" s="539"/>
      <c r="T63" s="539"/>
      <c r="U63" s="539"/>
      <c r="V63" s="539"/>
      <c r="W63" s="539"/>
      <c r="X63" s="539"/>
      <c r="Y63" s="539"/>
      <c r="Z63" s="539"/>
      <c r="AA63" s="539"/>
      <c r="AB63" s="539"/>
      <c r="AC63" s="539"/>
      <c r="AD63" s="539"/>
      <c r="AE63" s="539"/>
      <c r="AF63" s="539"/>
      <c r="AG63" s="539"/>
      <c r="AH63" s="539"/>
      <c r="AI63" s="539"/>
      <c r="AJ63" s="539"/>
      <c r="AK63" s="539"/>
      <c r="AL63" s="539"/>
      <c r="AM63" s="539"/>
      <c r="AN63" s="539"/>
      <c r="AO63" s="539"/>
      <c r="AP63" s="539"/>
      <c r="AQ63" s="539"/>
      <c r="AR63" s="539"/>
      <c r="AS63" s="539"/>
      <c r="AT63" s="539"/>
      <c r="AU63" s="539"/>
      <c r="AV63" s="539"/>
      <c r="AW63" s="539"/>
      <c r="AX63" s="539"/>
      <c r="AY63" s="539"/>
      <c r="AZ63" s="539"/>
      <c r="BA63" s="539"/>
      <c r="BB63" s="539"/>
    </row>
    <row r="65" spans="2:74" ht="13.5" customHeight="1" x14ac:dyDescent="0.15">
      <c r="X65" s="603" t="s">
        <v>54</v>
      </c>
      <c r="Y65" s="603"/>
      <c r="Z65" s="603"/>
      <c r="AA65" s="603"/>
      <c r="AB65" s="603"/>
      <c r="AC65" s="603"/>
      <c r="AD65" s="603"/>
      <c r="AE65" s="603"/>
      <c r="AF65" s="603"/>
      <c r="AG65" s="603"/>
      <c r="AH65" s="603"/>
      <c r="AI65" s="603"/>
      <c r="AJ65" s="603"/>
      <c r="AK65" s="603"/>
      <c r="AL65" s="603"/>
      <c r="AM65" s="131"/>
      <c r="AN65" s="602" t="str">
        <f>納入・納付申告書!$AV$12</f>
        <v>有限会社　オー・エス収集センター</v>
      </c>
      <c r="AO65" s="602"/>
      <c r="AP65" s="602"/>
      <c r="AQ65" s="602"/>
      <c r="AR65" s="602"/>
      <c r="AS65" s="602"/>
      <c r="AT65" s="602"/>
      <c r="AU65" s="602"/>
      <c r="AV65" s="602"/>
      <c r="AW65" s="602"/>
      <c r="AX65" s="602"/>
      <c r="AY65" s="602"/>
      <c r="AZ65" s="602"/>
      <c r="BA65" s="602"/>
      <c r="BB65" s="602"/>
    </row>
    <row r="66" spans="2:74" ht="6.75" customHeight="1" x14ac:dyDescent="0.15"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</row>
    <row r="67" spans="2:74" ht="40.5" customHeight="1" x14ac:dyDescent="0.2">
      <c r="B67" s="618" t="s">
        <v>70</v>
      </c>
      <c r="C67" s="619"/>
      <c r="D67" s="619"/>
      <c r="E67" s="619"/>
      <c r="F67" s="619"/>
      <c r="G67" s="619"/>
      <c r="H67" s="619"/>
      <c r="I67" s="619"/>
      <c r="J67" s="619"/>
      <c r="K67" s="619"/>
      <c r="L67" s="619"/>
      <c r="M67" s="619"/>
      <c r="N67" s="619"/>
      <c r="O67" s="619"/>
      <c r="P67" s="619"/>
      <c r="Q67" s="619"/>
      <c r="R67" s="619"/>
      <c r="S67" s="619"/>
      <c r="T67" s="619"/>
      <c r="U67" s="619"/>
      <c r="V67" s="619"/>
      <c r="W67" s="619"/>
      <c r="X67" s="619"/>
      <c r="Y67" s="619"/>
      <c r="Z67" s="619"/>
      <c r="AA67" s="619"/>
      <c r="AB67" s="619"/>
      <c r="AC67" s="619"/>
      <c r="AD67" s="619"/>
      <c r="AE67" s="619"/>
      <c r="AF67" s="619"/>
      <c r="AG67" s="619"/>
      <c r="AH67" s="619"/>
      <c r="AI67" s="619"/>
      <c r="AJ67" s="619"/>
      <c r="AK67" s="619"/>
      <c r="AL67" s="619"/>
      <c r="AM67" s="619"/>
      <c r="AN67" s="619"/>
      <c r="AO67" s="619"/>
      <c r="AP67" s="619"/>
      <c r="AQ67" s="619"/>
      <c r="AR67" s="619"/>
      <c r="AS67" s="619"/>
      <c r="AT67" s="619"/>
      <c r="AU67" s="619"/>
      <c r="AV67" s="619"/>
      <c r="AW67" s="619"/>
      <c r="AX67" s="619"/>
      <c r="AY67" s="619"/>
      <c r="AZ67" s="619"/>
      <c r="BA67" s="619"/>
      <c r="BB67" s="620"/>
    </row>
    <row r="68" spans="2:74" ht="15" customHeight="1" x14ac:dyDescent="0.15">
      <c r="B68" s="591" t="s">
        <v>9</v>
      </c>
      <c r="C68" s="592"/>
      <c r="D68" s="592"/>
      <c r="E68" s="592"/>
      <c r="F68" s="592"/>
      <c r="G68" s="592"/>
      <c r="H68" s="592"/>
      <c r="I68" s="592"/>
      <c r="J68" s="592"/>
      <c r="K68" s="604" t="str">
        <f>納入・納付申告書!CB45&amp;"分"</f>
        <v>令和7年6月分</v>
      </c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05"/>
      <c r="AB68" s="605"/>
      <c r="AC68" s="605"/>
      <c r="AD68" s="606"/>
      <c r="AE68" s="621" t="s">
        <v>71</v>
      </c>
      <c r="AF68" s="621"/>
      <c r="AG68" s="621"/>
      <c r="AH68" s="621"/>
      <c r="AI68" s="621"/>
      <c r="AJ68" s="621"/>
      <c r="AK68" s="621"/>
      <c r="AL68" s="621"/>
      <c r="AM68" s="592" t="s">
        <v>72</v>
      </c>
      <c r="AN68" s="592"/>
      <c r="AO68" s="592"/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623"/>
      <c r="BV68" s="129" t="s">
        <v>68</v>
      </c>
    </row>
    <row r="69" spans="2:74" ht="15" customHeight="1" x14ac:dyDescent="0.15">
      <c r="B69" s="593"/>
      <c r="C69" s="585"/>
      <c r="D69" s="585"/>
      <c r="E69" s="585"/>
      <c r="F69" s="585"/>
      <c r="G69" s="585"/>
      <c r="H69" s="585"/>
      <c r="I69" s="585"/>
      <c r="J69" s="585"/>
      <c r="K69" s="607"/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  <c r="AC69" s="608"/>
      <c r="AD69" s="609"/>
      <c r="AE69" s="622"/>
      <c r="AF69" s="622"/>
      <c r="AG69" s="622"/>
      <c r="AH69" s="622"/>
      <c r="AI69" s="622"/>
      <c r="AJ69" s="622"/>
      <c r="AK69" s="622"/>
      <c r="AL69" s="622"/>
      <c r="AM69" s="585"/>
      <c r="AN69" s="585"/>
      <c r="AO69" s="585"/>
      <c r="AP69" s="585"/>
      <c r="AQ69" s="585"/>
      <c r="AR69" s="585"/>
      <c r="AS69" s="585"/>
      <c r="AT69" s="585"/>
      <c r="AU69" s="585"/>
      <c r="AV69" s="585"/>
      <c r="AW69" s="585"/>
      <c r="AX69" s="585"/>
      <c r="AY69" s="585"/>
      <c r="AZ69" s="585"/>
      <c r="BA69" s="585"/>
      <c r="BB69" s="624"/>
    </row>
    <row r="70" spans="2:74" ht="13.5" customHeight="1" x14ac:dyDescent="0.15">
      <c r="B70" s="598" t="s">
        <v>73</v>
      </c>
      <c r="C70" s="599"/>
      <c r="D70" s="599"/>
      <c r="E70" s="599"/>
      <c r="F70" s="599"/>
      <c r="G70" s="599"/>
      <c r="H70" s="599"/>
      <c r="I70" s="599"/>
      <c r="J70" s="599"/>
      <c r="K70" s="599"/>
      <c r="L70" s="599"/>
      <c r="M70" s="600"/>
      <c r="N70" s="134"/>
      <c r="O70" s="612" t="s">
        <v>74</v>
      </c>
      <c r="P70" s="610"/>
      <c r="Q70" s="610"/>
      <c r="R70" s="610"/>
      <c r="S70" s="610"/>
      <c r="T70" s="610"/>
      <c r="U70" s="610"/>
      <c r="V70" s="610"/>
      <c r="W70" s="610"/>
      <c r="X70" s="611"/>
      <c r="Y70" s="588" t="s">
        <v>75</v>
      </c>
      <c r="Z70" s="589"/>
      <c r="AA70" s="589"/>
      <c r="AB70" s="589"/>
      <c r="AC70" s="589"/>
      <c r="AD70" s="589"/>
      <c r="AE70" s="589"/>
      <c r="AF70" s="589"/>
      <c r="AG70" s="589"/>
      <c r="AH70" s="589"/>
      <c r="AI70" s="589"/>
      <c r="AJ70" s="589"/>
      <c r="AK70" s="589"/>
      <c r="AL70" s="589"/>
      <c r="AM70" s="589"/>
      <c r="AN70" s="589"/>
      <c r="AO70" s="589"/>
      <c r="AP70" s="589"/>
      <c r="AQ70" s="589"/>
      <c r="AR70" s="590"/>
      <c r="AS70" s="612" t="s">
        <v>76</v>
      </c>
      <c r="AT70" s="613"/>
      <c r="AU70" s="613"/>
      <c r="AV70" s="613"/>
      <c r="AW70" s="613"/>
      <c r="AX70" s="613"/>
      <c r="AY70" s="613"/>
      <c r="AZ70" s="613"/>
      <c r="BA70" s="613"/>
      <c r="BB70" s="614"/>
    </row>
    <row r="71" spans="2:74" x14ac:dyDescent="0.15">
      <c r="B71" s="601"/>
      <c r="C71" s="599"/>
      <c r="D71" s="599"/>
      <c r="E71" s="599"/>
      <c r="F71" s="599"/>
      <c r="G71" s="599"/>
      <c r="H71" s="599"/>
      <c r="I71" s="599"/>
      <c r="J71" s="599"/>
      <c r="K71" s="599"/>
      <c r="L71" s="599"/>
      <c r="M71" s="600"/>
      <c r="N71" s="135"/>
      <c r="O71" s="625"/>
      <c r="P71" s="626"/>
      <c r="Q71" s="626"/>
      <c r="R71" s="626"/>
      <c r="S71" s="626"/>
      <c r="T71" s="626"/>
      <c r="U71" s="626"/>
      <c r="V71" s="626"/>
      <c r="W71" s="626"/>
      <c r="X71" s="627"/>
      <c r="Y71" s="594" t="s">
        <v>77</v>
      </c>
      <c r="Z71" s="610"/>
      <c r="AA71" s="610"/>
      <c r="AB71" s="610"/>
      <c r="AC71" s="610"/>
      <c r="AD71" s="611"/>
      <c r="AE71" s="594" t="s">
        <v>78</v>
      </c>
      <c r="AF71" s="595"/>
      <c r="AG71" s="596"/>
      <c r="AH71" s="597"/>
      <c r="AI71" s="594" t="s">
        <v>79</v>
      </c>
      <c r="AJ71" s="595"/>
      <c r="AK71" s="596"/>
      <c r="AL71" s="596"/>
      <c r="AM71" s="596"/>
      <c r="AN71" s="596"/>
      <c r="AO71" s="596"/>
      <c r="AP71" s="596"/>
      <c r="AQ71" s="596"/>
      <c r="AR71" s="597"/>
      <c r="AS71" s="615"/>
      <c r="AT71" s="538"/>
      <c r="AU71" s="538"/>
      <c r="AV71" s="538"/>
      <c r="AW71" s="538"/>
      <c r="AX71" s="538"/>
      <c r="AY71" s="538"/>
      <c r="AZ71" s="538"/>
      <c r="BA71" s="538"/>
      <c r="BB71" s="616"/>
    </row>
    <row r="72" spans="2:74" ht="13.5" customHeight="1" x14ac:dyDescent="0.15">
      <c r="B72" s="601"/>
      <c r="C72" s="599"/>
      <c r="D72" s="599"/>
      <c r="E72" s="599"/>
      <c r="F72" s="599"/>
      <c r="G72" s="599"/>
      <c r="H72" s="599"/>
      <c r="I72" s="599"/>
      <c r="J72" s="599"/>
      <c r="K72" s="599"/>
      <c r="L72" s="599"/>
      <c r="M72" s="600"/>
      <c r="N72" s="135"/>
      <c r="O72" s="584" t="s">
        <v>64</v>
      </c>
      <c r="P72" s="586"/>
      <c r="Q72" s="586"/>
      <c r="R72" s="586"/>
      <c r="S72" s="586"/>
      <c r="T72" s="586"/>
      <c r="U72" s="586"/>
      <c r="V72" s="586"/>
      <c r="W72" s="586"/>
      <c r="X72" s="587"/>
      <c r="Y72" s="584" t="s">
        <v>99</v>
      </c>
      <c r="Z72" s="586"/>
      <c r="AA72" s="586"/>
      <c r="AB72" s="586"/>
      <c r="AC72" s="586"/>
      <c r="AD72" s="587"/>
      <c r="AE72" s="584" t="s">
        <v>100</v>
      </c>
      <c r="AF72" s="585"/>
      <c r="AG72" s="586"/>
      <c r="AH72" s="587"/>
      <c r="AI72" s="584" t="s">
        <v>101</v>
      </c>
      <c r="AJ72" s="585"/>
      <c r="AK72" s="586"/>
      <c r="AL72" s="586"/>
      <c r="AM72" s="586"/>
      <c r="AN72" s="586"/>
      <c r="AO72" s="586"/>
      <c r="AP72" s="586"/>
      <c r="AQ72" s="586"/>
      <c r="AR72" s="587"/>
      <c r="AS72" s="584" t="s">
        <v>102</v>
      </c>
      <c r="AT72" s="586"/>
      <c r="AU72" s="586"/>
      <c r="AV72" s="586"/>
      <c r="AW72" s="586"/>
      <c r="AX72" s="586"/>
      <c r="AY72" s="586"/>
      <c r="AZ72" s="586"/>
      <c r="BA72" s="586"/>
      <c r="BB72" s="617"/>
    </row>
    <row r="73" spans="2:74" ht="31.5" customHeight="1" x14ac:dyDescent="0.15">
      <c r="B73" s="136"/>
      <c r="C73" s="543" t="s">
        <v>80</v>
      </c>
      <c r="D73" s="544"/>
      <c r="E73" s="544"/>
      <c r="F73" s="544"/>
      <c r="G73" s="544"/>
      <c r="H73" s="544"/>
      <c r="I73" s="544"/>
      <c r="J73" s="544"/>
      <c r="K73" s="544"/>
      <c r="L73" s="544"/>
      <c r="M73" s="545"/>
      <c r="N73" s="137"/>
      <c r="O73" s="551"/>
      <c r="P73" s="628"/>
      <c r="Q73" s="628"/>
      <c r="R73" s="628"/>
      <c r="S73" s="628"/>
      <c r="T73" s="628"/>
      <c r="U73" s="628"/>
      <c r="V73" s="628"/>
      <c r="W73" s="628"/>
      <c r="X73" s="629"/>
      <c r="Y73" s="540"/>
      <c r="Z73" s="541"/>
      <c r="AA73" s="541"/>
      <c r="AB73" s="541"/>
      <c r="AC73" s="541"/>
      <c r="AD73" s="542"/>
      <c r="AE73" s="560">
        <f>委附表2!AE73</f>
        <v>1.1399999999999999</v>
      </c>
      <c r="AF73" s="561"/>
      <c r="AG73" s="561"/>
      <c r="AH73" s="562"/>
      <c r="AI73" s="575">
        <f>ROUNDDOWN(ROUNDDOWN(Y73,3)*AE73,5)</f>
        <v>0</v>
      </c>
      <c r="AJ73" s="576"/>
      <c r="AK73" s="576"/>
      <c r="AL73" s="576"/>
      <c r="AM73" s="576"/>
      <c r="AN73" s="576"/>
      <c r="AO73" s="576"/>
      <c r="AP73" s="576"/>
      <c r="AQ73" s="576"/>
      <c r="AR73" s="577"/>
      <c r="AS73" s="575">
        <f>O73+AI73</f>
        <v>0</v>
      </c>
      <c r="AT73" s="576"/>
      <c r="AU73" s="576"/>
      <c r="AV73" s="576"/>
      <c r="AW73" s="576"/>
      <c r="AX73" s="576"/>
      <c r="AY73" s="576"/>
      <c r="AZ73" s="576"/>
      <c r="BA73" s="576"/>
      <c r="BB73" s="579"/>
    </row>
    <row r="74" spans="2:74" ht="31.5" customHeight="1" x14ac:dyDescent="0.15">
      <c r="B74" s="136"/>
      <c r="C74" s="543" t="s">
        <v>81</v>
      </c>
      <c r="D74" s="544"/>
      <c r="E74" s="544"/>
      <c r="F74" s="544"/>
      <c r="G74" s="544"/>
      <c r="H74" s="544"/>
      <c r="I74" s="544"/>
      <c r="J74" s="544"/>
      <c r="K74" s="544"/>
      <c r="L74" s="544"/>
      <c r="M74" s="545"/>
      <c r="N74" s="137"/>
      <c r="O74" s="551"/>
      <c r="P74" s="552"/>
      <c r="Q74" s="552"/>
      <c r="R74" s="552"/>
      <c r="S74" s="552"/>
      <c r="T74" s="552"/>
      <c r="U74" s="552"/>
      <c r="V74" s="552"/>
      <c r="W74" s="552"/>
      <c r="X74" s="553"/>
      <c r="Y74" s="540"/>
      <c r="Z74" s="541"/>
      <c r="AA74" s="541"/>
      <c r="AB74" s="541"/>
      <c r="AC74" s="541"/>
      <c r="AD74" s="542"/>
      <c r="AE74" s="560">
        <f>委附表2!AE74</f>
        <v>1.1000000000000001</v>
      </c>
      <c r="AF74" s="561"/>
      <c r="AG74" s="561"/>
      <c r="AH74" s="562"/>
      <c r="AI74" s="575">
        <f t="shared" ref="AI74:AI90" si="4">ROUNDDOWN(ROUNDDOWN(Y74,3)*AE74,5)</f>
        <v>0</v>
      </c>
      <c r="AJ74" s="576"/>
      <c r="AK74" s="576"/>
      <c r="AL74" s="576"/>
      <c r="AM74" s="576"/>
      <c r="AN74" s="576"/>
      <c r="AO74" s="576"/>
      <c r="AP74" s="576"/>
      <c r="AQ74" s="576"/>
      <c r="AR74" s="577"/>
      <c r="AS74" s="575">
        <f t="shared" ref="AS74:AS89" si="5">O74+AI74</f>
        <v>0</v>
      </c>
      <c r="AT74" s="576"/>
      <c r="AU74" s="576"/>
      <c r="AV74" s="576"/>
      <c r="AW74" s="576"/>
      <c r="AX74" s="576"/>
      <c r="AY74" s="576"/>
      <c r="AZ74" s="576"/>
      <c r="BA74" s="576"/>
      <c r="BB74" s="579"/>
    </row>
    <row r="75" spans="2:74" ht="31.5" customHeight="1" x14ac:dyDescent="0.15">
      <c r="B75" s="136"/>
      <c r="C75" s="543" t="s">
        <v>82</v>
      </c>
      <c r="D75" s="544"/>
      <c r="E75" s="544"/>
      <c r="F75" s="544"/>
      <c r="G75" s="544"/>
      <c r="H75" s="544"/>
      <c r="I75" s="544"/>
      <c r="J75" s="544"/>
      <c r="K75" s="544"/>
      <c r="L75" s="544"/>
      <c r="M75" s="545"/>
      <c r="N75" s="137"/>
      <c r="O75" s="551"/>
      <c r="P75" s="552"/>
      <c r="Q75" s="552"/>
      <c r="R75" s="552"/>
      <c r="S75" s="552"/>
      <c r="T75" s="552"/>
      <c r="U75" s="552"/>
      <c r="V75" s="552"/>
      <c r="W75" s="552"/>
      <c r="X75" s="553"/>
      <c r="Y75" s="540"/>
      <c r="Z75" s="541"/>
      <c r="AA75" s="541"/>
      <c r="AB75" s="541"/>
      <c r="AC75" s="541"/>
      <c r="AD75" s="542"/>
      <c r="AE75" s="560">
        <f>委附表2!AE75</f>
        <v>0.9</v>
      </c>
      <c r="AF75" s="561"/>
      <c r="AG75" s="561"/>
      <c r="AH75" s="562"/>
      <c r="AI75" s="575">
        <f t="shared" si="4"/>
        <v>0</v>
      </c>
      <c r="AJ75" s="576"/>
      <c r="AK75" s="576"/>
      <c r="AL75" s="576"/>
      <c r="AM75" s="576"/>
      <c r="AN75" s="576"/>
      <c r="AO75" s="576"/>
      <c r="AP75" s="576"/>
      <c r="AQ75" s="576"/>
      <c r="AR75" s="577"/>
      <c r="AS75" s="575">
        <f t="shared" si="5"/>
        <v>0</v>
      </c>
      <c r="AT75" s="576"/>
      <c r="AU75" s="576"/>
      <c r="AV75" s="576"/>
      <c r="AW75" s="576"/>
      <c r="AX75" s="576"/>
      <c r="AY75" s="576"/>
      <c r="AZ75" s="576"/>
      <c r="BA75" s="576"/>
      <c r="BB75" s="579"/>
    </row>
    <row r="76" spans="2:74" ht="31.5" customHeight="1" x14ac:dyDescent="0.15">
      <c r="B76" s="136"/>
      <c r="C76" s="543" t="s">
        <v>83</v>
      </c>
      <c r="D76" s="544"/>
      <c r="E76" s="544"/>
      <c r="F76" s="544"/>
      <c r="G76" s="544"/>
      <c r="H76" s="544"/>
      <c r="I76" s="544"/>
      <c r="J76" s="544"/>
      <c r="K76" s="544"/>
      <c r="L76" s="544"/>
      <c r="M76" s="545"/>
      <c r="N76" s="137"/>
      <c r="O76" s="551"/>
      <c r="P76" s="552"/>
      <c r="Q76" s="552"/>
      <c r="R76" s="552"/>
      <c r="S76" s="552"/>
      <c r="T76" s="552"/>
      <c r="U76" s="552"/>
      <c r="V76" s="552"/>
      <c r="W76" s="552"/>
      <c r="X76" s="553"/>
      <c r="Y76" s="540"/>
      <c r="Z76" s="541"/>
      <c r="AA76" s="541"/>
      <c r="AB76" s="541"/>
      <c r="AC76" s="541"/>
      <c r="AD76" s="542"/>
      <c r="AE76" s="560">
        <f>委附表2!AE76</f>
        <v>0.35</v>
      </c>
      <c r="AF76" s="561"/>
      <c r="AG76" s="561"/>
      <c r="AH76" s="562"/>
      <c r="AI76" s="575">
        <f t="shared" si="4"/>
        <v>0</v>
      </c>
      <c r="AJ76" s="576"/>
      <c r="AK76" s="576"/>
      <c r="AL76" s="576"/>
      <c r="AM76" s="576"/>
      <c r="AN76" s="576"/>
      <c r="AO76" s="576"/>
      <c r="AP76" s="576"/>
      <c r="AQ76" s="576"/>
      <c r="AR76" s="577"/>
      <c r="AS76" s="575">
        <f t="shared" si="5"/>
        <v>0</v>
      </c>
      <c r="AT76" s="576"/>
      <c r="AU76" s="576"/>
      <c r="AV76" s="576"/>
      <c r="AW76" s="576"/>
      <c r="AX76" s="576"/>
      <c r="AY76" s="576"/>
      <c r="AZ76" s="576"/>
      <c r="BA76" s="576"/>
      <c r="BB76" s="579"/>
    </row>
    <row r="77" spans="2:74" ht="31.5" customHeight="1" x14ac:dyDescent="0.15">
      <c r="B77" s="136"/>
      <c r="C77" s="543" t="s">
        <v>84</v>
      </c>
      <c r="D77" s="544"/>
      <c r="E77" s="544"/>
      <c r="F77" s="544"/>
      <c r="G77" s="544"/>
      <c r="H77" s="544"/>
      <c r="I77" s="544"/>
      <c r="J77" s="544"/>
      <c r="K77" s="544"/>
      <c r="L77" s="544"/>
      <c r="M77" s="545"/>
      <c r="N77" s="137"/>
      <c r="O77" s="551"/>
      <c r="P77" s="552"/>
      <c r="Q77" s="552"/>
      <c r="R77" s="552"/>
      <c r="S77" s="552"/>
      <c r="T77" s="552"/>
      <c r="U77" s="552"/>
      <c r="V77" s="552"/>
      <c r="W77" s="552"/>
      <c r="X77" s="553"/>
      <c r="Y77" s="540"/>
      <c r="Z77" s="541"/>
      <c r="AA77" s="541"/>
      <c r="AB77" s="541"/>
      <c r="AC77" s="541"/>
      <c r="AD77" s="542"/>
      <c r="AE77" s="560">
        <f>委附表2!AE77</f>
        <v>0.3</v>
      </c>
      <c r="AF77" s="561"/>
      <c r="AG77" s="561"/>
      <c r="AH77" s="562"/>
      <c r="AI77" s="575">
        <f t="shared" si="4"/>
        <v>0</v>
      </c>
      <c r="AJ77" s="576"/>
      <c r="AK77" s="576"/>
      <c r="AL77" s="576"/>
      <c r="AM77" s="576"/>
      <c r="AN77" s="576"/>
      <c r="AO77" s="576"/>
      <c r="AP77" s="576"/>
      <c r="AQ77" s="576"/>
      <c r="AR77" s="577"/>
      <c r="AS77" s="575">
        <f t="shared" si="5"/>
        <v>0</v>
      </c>
      <c r="AT77" s="576"/>
      <c r="AU77" s="576"/>
      <c r="AV77" s="576"/>
      <c r="AW77" s="576"/>
      <c r="AX77" s="576"/>
      <c r="AY77" s="576"/>
      <c r="AZ77" s="576"/>
      <c r="BA77" s="576"/>
      <c r="BB77" s="579"/>
    </row>
    <row r="78" spans="2:74" ht="31.5" customHeight="1" x14ac:dyDescent="0.15">
      <c r="B78" s="136"/>
      <c r="C78" s="543" t="s">
        <v>85</v>
      </c>
      <c r="D78" s="544"/>
      <c r="E78" s="544"/>
      <c r="F78" s="544"/>
      <c r="G78" s="544"/>
      <c r="H78" s="544"/>
      <c r="I78" s="544"/>
      <c r="J78" s="544"/>
      <c r="K78" s="544"/>
      <c r="L78" s="544"/>
      <c r="M78" s="545"/>
      <c r="N78" s="137"/>
      <c r="O78" s="551"/>
      <c r="P78" s="552"/>
      <c r="Q78" s="552"/>
      <c r="R78" s="552"/>
      <c r="S78" s="552"/>
      <c r="T78" s="552"/>
      <c r="U78" s="552"/>
      <c r="V78" s="552"/>
      <c r="W78" s="552"/>
      <c r="X78" s="553"/>
      <c r="Y78" s="540"/>
      <c r="Z78" s="541"/>
      <c r="AA78" s="541"/>
      <c r="AB78" s="541"/>
      <c r="AC78" s="541"/>
      <c r="AD78" s="542"/>
      <c r="AE78" s="560">
        <f>委附表2!AE78</f>
        <v>0.55000000000000004</v>
      </c>
      <c r="AF78" s="561"/>
      <c r="AG78" s="561"/>
      <c r="AH78" s="562"/>
      <c r="AI78" s="575">
        <f t="shared" si="4"/>
        <v>0</v>
      </c>
      <c r="AJ78" s="576"/>
      <c r="AK78" s="576"/>
      <c r="AL78" s="576"/>
      <c r="AM78" s="576"/>
      <c r="AN78" s="576"/>
      <c r="AO78" s="576"/>
      <c r="AP78" s="576"/>
      <c r="AQ78" s="576"/>
      <c r="AR78" s="577"/>
      <c r="AS78" s="575">
        <f t="shared" si="5"/>
        <v>0</v>
      </c>
      <c r="AT78" s="576"/>
      <c r="AU78" s="576"/>
      <c r="AV78" s="576"/>
      <c r="AW78" s="576"/>
      <c r="AX78" s="576"/>
      <c r="AY78" s="576"/>
      <c r="AZ78" s="576"/>
      <c r="BA78" s="576"/>
      <c r="BB78" s="579"/>
    </row>
    <row r="79" spans="2:74" ht="31.5" customHeight="1" x14ac:dyDescent="0.15">
      <c r="B79" s="136"/>
      <c r="C79" s="543" t="s">
        <v>86</v>
      </c>
      <c r="D79" s="544"/>
      <c r="E79" s="544"/>
      <c r="F79" s="544"/>
      <c r="G79" s="544"/>
      <c r="H79" s="544"/>
      <c r="I79" s="544"/>
      <c r="J79" s="544"/>
      <c r="K79" s="544"/>
      <c r="L79" s="544"/>
      <c r="M79" s="545"/>
      <c r="N79" s="137"/>
      <c r="O79" s="551"/>
      <c r="P79" s="552"/>
      <c r="Q79" s="552"/>
      <c r="R79" s="552"/>
      <c r="S79" s="552"/>
      <c r="T79" s="552"/>
      <c r="U79" s="552"/>
      <c r="V79" s="552"/>
      <c r="W79" s="552"/>
      <c r="X79" s="553"/>
      <c r="Y79" s="540"/>
      <c r="Z79" s="541"/>
      <c r="AA79" s="541"/>
      <c r="AB79" s="541"/>
      <c r="AC79" s="541"/>
      <c r="AD79" s="542"/>
      <c r="AE79" s="560">
        <f>委附表2!AE79</f>
        <v>0.12</v>
      </c>
      <c r="AF79" s="561"/>
      <c r="AG79" s="561"/>
      <c r="AH79" s="562"/>
      <c r="AI79" s="575">
        <f t="shared" si="4"/>
        <v>0</v>
      </c>
      <c r="AJ79" s="576"/>
      <c r="AK79" s="576"/>
      <c r="AL79" s="576"/>
      <c r="AM79" s="576"/>
      <c r="AN79" s="576"/>
      <c r="AO79" s="576"/>
      <c r="AP79" s="576"/>
      <c r="AQ79" s="576"/>
      <c r="AR79" s="577"/>
      <c r="AS79" s="575">
        <f t="shared" si="5"/>
        <v>0</v>
      </c>
      <c r="AT79" s="576"/>
      <c r="AU79" s="576"/>
      <c r="AV79" s="576"/>
      <c r="AW79" s="576"/>
      <c r="AX79" s="576"/>
      <c r="AY79" s="576"/>
      <c r="AZ79" s="576"/>
      <c r="BA79" s="576"/>
      <c r="BB79" s="579"/>
    </row>
    <row r="80" spans="2:74" ht="31.5" customHeight="1" x14ac:dyDescent="0.15">
      <c r="B80" s="136"/>
      <c r="C80" s="546" t="s">
        <v>87</v>
      </c>
      <c r="D80" s="546"/>
      <c r="E80" s="546"/>
      <c r="F80" s="546"/>
      <c r="G80" s="546"/>
      <c r="H80" s="546"/>
      <c r="I80" s="546"/>
      <c r="J80" s="546"/>
      <c r="K80" s="546"/>
      <c r="L80" s="546"/>
      <c r="M80" s="547"/>
      <c r="N80" s="137"/>
      <c r="O80" s="551"/>
      <c r="P80" s="552"/>
      <c r="Q80" s="552"/>
      <c r="R80" s="552"/>
      <c r="S80" s="552"/>
      <c r="T80" s="552"/>
      <c r="U80" s="552"/>
      <c r="V80" s="552"/>
      <c r="W80" s="552"/>
      <c r="X80" s="553"/>
      <c r="Y80" s="540"/>
      <c r="Z80" s="541"/>
      <c r="AA80" s="541"/>
      <c r="AB80" s="541"/>
      <c r="AC80" s="541"/>
      <c r="AD80" s="542"/>
      <c r="AE80" s="560">
        <f>委附表2!AE80</f>
        <v>1</v>
      </c>
      <c r="AF80" s="561"/>
      <c r="AG80" s="561"/>
      <c r="AH80" s="562"/>
      <c r="AI80" s="575">
        <f t="shared" si="4"/>
        <v>0</v>
      </c>
      <c r="AJ80" s="576"/>
      <c r="AK80" s="576"/>
      <c r="AL80" s="576"/>
      <c r="AM80" s="576"/>
      <c r="AN80" s="576"/>
      <c r="AO80" s="576"/>
      <c r="AP80" s="576"/>
      <c r="AQ80" s="576"/>
      <c r="AR80" s="577"/>
      <c r="AS80" s="575">
        <f t="shared" si="5"/>
        <v>0</v>
      </c>
      <c r="AT80" s="576"/>
      <c r="AU80" s="576"/>
      <c r="AV80" s="576"/>
      <c r="AW80" s="576"/>
      <c r="AX80" s="576"/>
      <c r="AY80" s="576"/>
      <c r="AZ80" s="576"/>
      <c r="BA80" s="576"/>
      <c r="BB80" s="579"/>
    </row>
    <row r="81" spans="2:54" ht="31.5" customHeight="1" x14ac:dyDescent="0.15">
      <c r="B81" s="136"/>
      <c r="C81" s="548" t="s">
        <v>88</v>
      </c>
      <c r="D81" s="549"/>
      <c r="E81" s="549"/>
      <c r="F81" s="549"/>
      <c r="G81" s="549"/>
      <c r="H81" s="549"/>
      <c r="I81" s="549"/>
      <c r="J81" s="549"/>
      <c r="K81" s="549"/>
      <c r="L81" s="549"/>
      <c r="M81" s="550"/>
      <c r="N81" s="137"/>
      <c r="O81" s="551"/>
      <c r="P81" s="552"/>
      <c r="Q81" s="552"/>
      <c r="R81" s="552"/>
      <c r="S81" s="552"/>
      <c r="T81" s="552"/>
      <c r="U81" s="552"/>
      <c r="V81" s="552"/>
      <c r="W81" s="552"/>
      <c r="X81" s="553"/>
      <c r="Y81" s="540"/>
      <c r="Z81" s="541"/>
      <c r="AA81" s="541"/>
      <c r="AB81" s="541"/>
      <c r="AC81" s="541"/>
      <c r="AD81" s="542"/>
      <c r="AE81" s="560">
        <f>委附表2!AE81</f>
        <v>1</v>
      </c>
      <c r="AF81" s="561"/>
      <c r="AG81" s="561"/>
      <c r="AH81" s="562"/>
      <c r="AI81" s="575">
        <f t="shared" si="4"/>
        <v>0</v>
      </c>
      <c r="AJ81" s="576"/>
      <c r="AK81" s="576"/>
      <c r="AL81" s="576"/>
      <c r="AM81" s="576"/>
      <c r="AN81" s="576"/>
      <c r="AO81" s="576"/>
      <c r="AP81" s="576"/>
      <c r="AQ81" s="576"/>
      <c r="AR81" s="577"/>
      <c r="AS81" s="575">
        <f t="shared" si="5"/>
        <v>0</v>
      </c>
      <c r="AT81" s="576"/>
      <c r="AU81" s="576"/>
      <c r="AV81" s="576"/>
      <c r="AW81" s="576"/>
      <c r="AX81" s="576"/>
      <c r="AY81" s="576"/>
      <c r="AZ81" s="576"/>
      <c r="BA81" s="576"/>
      <c r="BB81" s="579"/>
    </row>
    <row r="82" spans="2:54" ht="31.5" customHeight="1" x14ac:dyDescent="0.15">
      <c r="B82" s="136"/>
      <c r="C82" s="543" t="s">
        <v>103</v>
      </c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137"/>
      <c r="O82" s="551"/>
      <c r="P82" s="552"/>
      <c r="Q82" s="552"/>
      <c r="R82" s="552"/>
      <c r="S82" s="552"/>
      <c r="T82" s="552"/>
      <c r="U82" s="552"/>
      <c r="V82" s="552"/>
      <c r="W82" s="552"/>
      <c r="X82" s="553"/>
      <c r="Y82" s="540"/>
      <c r="Z82" s="541"/>
      <c r="AA82" s="541"/>
      <c r="AB82" s="541"/>
      <c r="AC82" s="541"/>
      <c r="AD82" s="542"/>
      <c r="AE82" s="560">
        <f>委附表2!AE82</f>
        <v>0.52</v>
      </c>
      <c r="AF82" s="561"/>
      <c r="AG82" s="561"/>
      <c r="AH82" s="562"/>
      <c r="AI82" s="575">
        <f t="shared" si="4"/>
        <v>0</v>
      </c>
      <c r="AJ82" s="576"/>
      <c r="AK82" s="576"/>
      <c r="AL82" s="576"/>
      <c r="AM82" s="576"/>
      <c r="AN82" s="576"/>
      <c r="AO82" s="576"/>
      <c r="AP82" s="576"/>
      <c r="AQ82" s="576"/>
      <c r="AR82" s="577"/>
      <c r="AS82" s="575">
        <f t="shared" si="5"/>
        <v>0</v>
      </c>
      <c r="AT82" s="576"/>
      <c r="AU82" s="576"/>
      <c r="AV82" s="576"/>
      <c r="AW82" s="576"/>
      <c r="AX82" s="576"/>
      <c r="AY82" s="576"/>
      <c r="AZ82" s="576"/>
      <c r="BA82" s="576"/>
      <c r="BB82" s="579"/>
    </row>
    <row r="83" spans="2:54" ht="31.5" customHeight="1" x14ac:dyDescent="0.15">
      <c r="B83" s="136"/>
      <c r="C83" s="543" t="s">
        <v>89</v>
      </c>
      <c r="D83" s="544"/>
      <c r="E83" s="544"/>
      <c r="F83" s="544"/>
      <c r="G83" s="544"/>
      <c r="H83" s="544"/>
      <c r="I83" s="544"/>
      <c r="J83" s="544"/>
      <c r="K83" s="544"/>
      <c r="L83" s="544"/>
      <c r="M83" s="545"/>
      <c r="N83" s="137"/>
      <c r="O83" s="551"/>
      <c r="P83" s="552"/>
      <c r="Q83" s="552"/>
      <c r="R83" s="552"/>
      <c r="S83" s="552"/>
      <c r="T83" s="552"/>
      <c r="U83" s="552"/>
      <c r="V83" s="552"/>
      <c r="W83" s="552"/>
      <c r="X83" s="553"/>
      <c r="Y83" s="540"/>
      <c r="Z83" s="541"/>
      <c r="AA83" s="541"/>
      <c r="AB83" s="541"/>
      <c r="AC83" s="541"/>
      <c r="AD83" s="542"/>
      <c r="AE83" s="560">
        <f>委附表2!AE83</f>
        <v>1.1299999999999999</v>
      </c>
      <c r="AF83" s="561"/>
      <c r="AG83" s="561"/>
      <c r="AH83" s="562"/>
      <c r="AI83" s="575">
        <f t="shared" si="4"/>
        <v>0</v>
      </c>
      <c r="AJ83" s="576"/>
      <c r="AK83" s="576"/>
      <c r="AL83" s="576"/>
      <c r="AM83" s="576"/>
      <c r="AN83" s="576"/>
      <c r="AO83" s="576"/>
      <c r="AP83" s="576"/>
      <c r="AQ83" s="576"/>
      <c r="AR83" s="577"/>
      <c r="AS83" s="575">
        <f t="shared" si="5"/>
        <v>0</v>
      </c>
      <c r="AT83" s="576"/>
      <c r="AU83" s="576"/>
      <c r="AV83" s="576"/>
      <c r="AW83" s="576"/>
      <c r="AX83" s="576"/>
      <c r="AY83" s="576"/>
      <c r="AZ83" s="576"/>
      <c r="BA83" s="576"/>
      <c r="BB83" s="579"/>
    </row>
    <row r="84" spans="2:54" ht="31.5" customHeight="1" x14ac:dyDescent="0.15">
      <c r="B84" s="136"/>
      <c r="C84" s="543" t="s">
        <v>90</v>
      </c>
      <c r="D84" s="544"/>
      <c r="E84" s="544"/>
      <c r="F84" s="544"/>
      <c r="G84" s="544"/>
      <c r="H84" s="544"/>
      <c r="I84" s="544"/>
      <c r="J84" s="544"/>
      <c r="K84" s="544"/>
      <c r="L84" s="544"/>
      <c r="M84" s="583"/>
      <c r="N84" s="137"/>
      <c r="O84" s="551"/>
      <c r="P84" s="552"/>
      <c r="Q84" s="552"/>
      <c r="R84" s="552"/>
      <c r="S84" s="552"/>
      <c r="T84" s="552"/>
      <c r="U84" s="552"/>
      <c r="V84" s="552"/>
      <c r="W84" s="552"/>
      <c r="X84" s="553"/>
      <c r="Y84" s="540"/>
      <c r="Z84" s="541"/>
      <c r="AA84" s="541"/>
      <c r="AB84" s="541"/>
      <c r="AC84" s="541"/>
      <c r="AD84" s="542"/>
      <c r="AE84" s="560">
        <f>委附表2!AE84</f>
        <v>1</v>
      </c>
      <c r="AF84" s="561"/>
      <c r="AG84" s="561"/>
      <c r="AH84" s="562"/>
      <c r="AI84" s="575">
        <f t="shared" si="4"/>
        <v>0</v>
      </c>
      <c r="AJ84" s="576"/>
      <c r="AK84" s="576"/>
      <c r="AL84" s="576"/>
      <c r="AM84" s="576"/>
      <c r="AN84" s="576"/>
      <c r="AO84" s="576"/>
      <c r="AP84" s="576"/>
      <c r="AQ84" s="576"/>
      <c r="AR84" s="577"/>
      <c r="AS84" s="575">
        <f t="shared" si="5"/>
        <v>0</v>
      </c>
      <c r="AT84" s="576"/>
      <c r="AU84" s="576"/>
      <c r="AV84" s="576"/>
      <c r="AW84" s="576"/>
      <c r="AX84" s="576"/>
      <c r="AY84" s="576"/>
      <c r="AZ84" s="576"/>
      <c r="BA84" s="576"/>
      <c r="BB84" s="579"/>
    </row>
    <row r="85" spans="2:54" ht="31.5" customHeight="1" x14ac:dyDescent="0.15">
      <c r="B85" s="136"/>
      <c r="C85" s="543" t="s">
        <v>91</v>
      </c>
      <c r="D85" s="544"/>
      <c r="E85" s="544"/>
      <c r="F85" s="544"/>
      <c r="G85" s="544"/>
      <c r="H85" s="544"/>
      <c r="I85" s="544"/>
      <c r="J85" s="544"/>
      <c r="K85" s="544"/>
      <c r="L85" s="544"/>
      <c r="M85" s="545"/>
      <c r="N85" s="137"/>
      <c r="O85" s="551"/>
      <c r="P85" s="552"/>
      <c r="Q85" s="552"/>
      <c r="R85" s="552"/>
      <c r="S85" s="552"/>
      <c r="T85" s="552"/>
      <c r="U85" s="552"/>
      <c r="V85" s="552"/>
      <c r="W85" s="552"/>
      <c r="X85" s="553"/>
      <c r="Y85" s="540"/>
      <c r="Z85" s="541"/>
      <c r="AA85" s="541"/>
      <c r="AB85" s="541"/>
      <c r="AC85" s="541"/>
      <c r="AD85" s="542"/>
      <c r="AE85" s="560">
        <f>委附表2!AE85</f>
        <v>1.93</v>
      </c>
      <c r="AF85" s="561"/>
      <c r="AG85" s="561"/>
      <c r="AH85" s="562"/>
      <c r="AI85" s="575">
        <f t="shared" si="4"/>
        <v>0</v>
      </c>
      <c r="AJ85" s="576"/>
      <c r="AK85" s="576"/>
      <c r="AL85" s="576"/>
      <c r="AM85" s="576"/>
      <c r="AN85" s="576"/>
      <c r="AO85" s="576"/>
      <c r="AP85" s="576"/>
      <c r="AQ85" s="576"/>
      <c r="AR85" s="577"/>
      <c r="AS85" s="575">
        <f t="shared" si="5"/>
        <v>0</v>
      </c>
      <c r="AT85" s="576"/>
      <c r="AU85" s="576"/>
      <c r="AV85" s="576"/>
      <c r="AW85" s="576"/>
      <c r="AX85" s="576"/>
      <c r="AY85" s="576"/>
      <c r="AZ85" s="576"/>
      <c r="BA85" s="576"/>
      <c r="BB85" s="579"/>
    </row>
    <row r="86" spans="2:54" ht="31.5" customHeight="1" x14ac:dyDescent="0.15">
      <c r="B86" s="136"/>
      <c r="C86" s="543" t="s">
        <v>92</v>
      </c>
      <c r="D86" s="544"/>
      <c r="E86" s="544"/>
      <c r="F86" s="544"/>
      <c r="G86" s="544"/>
      <c r="H86" s="544"/>
      <c r="I86" s="544"/>
      <c r="J86" s="544"/>
      <c r="K86" s="544"/>
      <c r="L86" s="544"/>
      <c r="M86" s="583"/>
      <c r="N86" s="137"/>
      <c r="O86" s="551"/>
      <c r="P86" s="552"/>
      <c r="Q86" s="552"/>
      <c r="R86" s="552"/>
      <c r="S86" s="552"/>
      <c r="T86" s="552"/>
      <c r="U86" s="552"/>
      <c r="V86" s="552"/>
      <c r="W86" s="552"/>
      <c r="X86" s="553"/>
      <c r="Y86" s="540"/>
      <c r="Z86" s="541"/>
      <c r="AA86" s="541"/>
      <c r="AB86" s="541"/>
      <c r="AC86" s="541"/>
      <c r="AD86" s="542"/>
      <c r="AE86" s="560">
        <f>委附表2!AE86</f>
        <v>1.48</v>
      </c>
      <c r="AF86" s="561"/>
      <c r="AG86" s="561"/>
      <c r="AH86" s="562"/>
      <c r="AI86" s="575">
        <f t="shared" si="4"/>
        <v>0</v>
      </c>
      <c r="AJ86" s="576"/>
      <c r="AK86" s="576"/>
      <c r="AL86" s="576"/>
      <c r="AM86" s="576"/>
      <c r="AN86" s="576"/>
      <c r="AO86" s="576"/>
      <c r="AP86" s="576"/>
      <c r="AQ86" s="576"/>
      <c r="AR86" s="577"/>
      <c r="AS86" s="575">
        <f t="shared" si="5"/>
        <v>0</v>
      </c>
      <c r="AT86" s="576"/>
      <c r="AU86" s="576"/>
      <c r="AV86" s="576"/>
      <c r="AW86" s="576"/>
      <c r="AX86" s="576"/>
      <c r="AY86" s="576"/>
      <c r="AZ86" s="576"/>
      <c r="BA86" s="576"/>
      <c r="BB86" s="579"/>
    </row>
    <row r="87" spans="2:54" ht="31.5" customHeight="1" x14ac:dyDescent="0.15">
      <c r="B87" s="136"/>
      <c r="C87" s="543" t="s">
        <v>93</v>
      </c>
      <c r="D87" s="544"/>
      <c r="E87" s="544"/>
      <c r="F87" s="544"/>
      <c r="G87" s="544"/>
      <c r="H87" s="544"/>
      <c r="I87" s="544"/>
      <c r="J87" s="544"/>
      <c r="K87" s="544"/>
      <c r="L87" s="544"/>
      <c r="M87" s="545"/>
      <c r="N87" s="137"/>
      <c r="O87" s="551"/>
      <c r="P87" s="552"/>
      <c r="Q87" s="552"/>
      <c r="R87" s="552"/>
      <c r="S87" s="552"/>
      <c r="T87" s="552"/>
      <c r="U87" s="552"/>
      <c r="V87" s="552"/>
      <c r="W87" s="552"/>
      <c r="X87" s="553"/>
      <c r="Y87" s="540"/>
      <c r="Z87" s="541"/>
      <c r="AA87" s="541"/>
      <c r="AB87" s="541"/>
      <c r="AC87" s="541"/>
      <c r="AD87" s="542"/>
      <c r="AE87" s="560">
        <f>委附表2!AE87</f>
        <v>1</v>
      </c>
      <c r="AF87" s="561"/>
      <c r="AG87" s="561"/>
      <c r="AH87" s="562"/>
      <c r="AI87" s="575">
        <f t="shared" si="4"/>
        <v>0</v>
      </c>
      <c r="AJ87" s="576"/>
      <c r="AK87" s="576"/>
      <c r="AL87" s="576"/>
      <c r="AM87" s="576"/>
      <c r="AN87" s="576"/>
      <c r="AO87" s="576"/>
      <c r="AP87" s="576"/>
      <c r="AQ87" s="576"/>
      <c r="AR87" s="577"/>
      <c r="AS87" s="575">
        <f t="shared" si="5"/>
        <v>0</v>
      </c>
      <c r="AT87" s="576"/>
      <c r="AU87" s="576"/>
      <c r="AV87" s="576"/>
      <c r="AW87" s="576"/>
      <c r="AX87" s="576"/>
      <c r="AY87" s="576"/>
      <c r="AZ87" s="576"/>
      <c r="BA87" s="576"/>
      <c r="BB87" s="579"/>
    </row>
    <row r="88" spans="2:54" ht="31.5" customHeight="1" x14ac:dyDescent="0.15">
      <c r="B88" s="136"/>
      <c r="C88" s="543" t="s">
        <v>94</v>
      </c>
      <c r="D88" s="544"/>
      <c r="E88" s="544"/>
      <c r="F88" s="544"/>
      <c r="G88" s="544"/>
      <c r="H88" s="544"/>
      <c r="I88" s="544"/>
      <c r="J88" s="544"/>
      <c r="K88" s="544"/>
      <c r="L88" s="544"/>
      <c r="M88" s="545"/>
      <c r="N88" s="137"/>
      <c r="O88" s="551"/>
      <c r="P88" s="552"/>
      <c r="Q88" s="552"/>
      <c r="R88" s="552"/>
      <c r="S88" s="552"/>
      <c r="T88" s="552"/>
      <c r="U88" s="552"/>
      <c r="V88" s="552"/>
      <c r="W88" s="552"/>
      <c r="X88" s="553"/>
      <c r="Y88" s="540"/>
      <c r="Z88" s="541"/>
      <c r="AA88" s="541"/>
      <c r="AB88" s="541"/>
      <c r="AC88" s="541"/>
      <c r="AD88" s="542"/>
      <c r="AE88" s="560">
        <f>委附表2!AE88</f>
        <v>1</v>
      </c>
      <c r="AF88" s="561"/>
      <c r="AG88" s="561"/>
      <c r="AH88" s="562"/>
      <c r="AI88" s="575">
        <f t="shared" si="4"/>
        <v>0</v>
      </c>
      <c r="AJ88" s="576"/>
      <c r="AK88" s="576"/>
      <c r="AL88" s="576"/>
      <c r="AM88" s="576"/>
      <c r="AN88" s="576"/>
      <c r="AO88" s="576"/>
      <c r="AP88" s="576"/>
      <c r="AQ88" s="576"/>
      <c r="AR88" s="577"/>
      <c r="AS88" s="575">
        <f t="shared" si="5"/>
        <v>0</v>
      </c>
      <c r="AT88" s="576"/>
      <c r="AU88" s="576"/>
      <c r="AV88" s="576"/>
      <c r="AW88" s="576"/>
      <c r="AX88" s="576"/>
      <c r="AY88" s="576"/>
      <c r="AZ88" s="576"/>
      <c r="BA88" s="576"/>
      <c r="BB88" s="579"/>
    </row>
    <row r="89" spans="2:54" ht="31.5" customHeight="1" x14ac:dyDescent="0.15">
      <c r="B89" s="136"/>
      <c r="C89" s="548" t="s">
        <v>104</v>
      </c>
      <c r="D89" s="549"/>
      <c r="E89" s="549"/>
      <c r="F89" s="549"/>
      <c r="G89" s="549"/>
      <c r="H89" s="549"/>
      <c r="I89" s="549"/>
      <c r="J89" s="549"/>
      <c r="K89" s="549"/>
      <c r="L89" s="549"/>
      <c r="M89" s="550"/>
      <c r="N89" s="137"/>
      <c r="O89" s="551"/>
      <c r="P89" s="552"/>
      <c r="Q89" s="552"/>
      <c r="R89" s="552"/>
      <c r="S89" s="552"/>
      <c r="T89" s="552"/>
      <c r="U89" s="552"/>
      <c r="V89" s="552"/>
      <c r="W89" s="552"/>
      <c r="X89" s="553"/>
      <c r="Y89" s="540"/>
      <c r="Z89" s="541"/>
      <c r="AA89" s="541"/>
      <c r="AB89" s="541"/>
      <c r="AC89" s="541"/>
      <c r="AD89" s="542"/>
      <c r="AE89" s="560">
        <f>委附表2!AE89</f>
        <v>1.26</v>
      </c>
      <c r="AF89" s="561"/>
      <c r="AG89" s="561"/>
      <c r="AH89" s="562"/>
      <c r="AI89" s="575">
        <f t="shared" si="4"/>
        <v>0</v>
      </c>
      <c r="AJ89" s="576"/>
      <c r="AK89" s="576"/>
      <c r="AL89" s="576"/>
      <c r="AM89" s="576"/>
      <c r="AN89" s="576"/>
      <c r="AO89" s="576"/>
      <c r="AP89" s="576"/>
      <c r="AQ89" s="576"/>
      <c r="AR89" s="577"/>
      <c r="AS89" s="575">
        <f t="shared" si="5"/>
        <v>0</v>
      </c>
      <c r="AT89" s="576"/>
      <c r="AU89" s="576"/>
      <c r="AV89" s="576"/>
      <c r="AW89" s="576"/>
      <c r="AX89" s="576"/>
      <c r="AY89" s="576"/>
      <c r="AZ89" s="576"/>
      <c r="BA89" s="576"/>
      <c r="BB89" s="579"/>
    </row>
    <row r="90" spans="2:54" ht="43.5" customHeight="1" thickBot="1" x14ac:dyDescent="0.2">
      <c r="B90" s="138"/>
      <c r="C90" s="548" t="s">
        <v>95</v>
      </c>
      <c r="D90" s="549"/>
      <c r="E90" s="549"/>
      <c r="F90" s="549"/>
      <c r="G90" s="549"/>
      <c r="H90" s="549"/>
      <c r="I90" s="549"/>
      <c r="J90" s="549"/>
      <c r="K90" s="549"/>
      <c r="L90" s="549"/>
      <c r="M90" s="550"/>
      <c r="N90" s="134"/>
      <c r="O90" s="580"/>
      <c r="P90" s="581"/>
      <c r="Q90" s="581"/>
      <c r="R90" s="581"/>
      <c r="S90" s="581"/>
      <c r="T90" s="581"/>
      <c r="U90" s="581"/>
      <c r="V90" s="581"/>
      <c r="W90" s="581"/>
      <c r="X90" s="582"/>
      <c r="Y90" s="540"/>
      <c r="Z90" s="541"/>
      <c r="AA90" s="541"/>
      <c r="AB90" s="541"/>
      <c r="AC90" s="541"/>
      <c r="AD90" s="542"/>
      <c r="AE90" s="563">
        <f>委附表2!AE90</f>
        <v>1</v>
      </c>
      <c r="AF90" s="564"/>
      <c r="AG90" s="564"/>
      <c r="AH90" s="565"/>
      <c r="AI90" s="575">
        <f t="shared" si="4"/>
        <v>0</v>
      </c>
      <c r="AJ90" s="576"/>
      <c r="AK90" s="576"/>
      <c r="AL90" s="576"/>
      <c r="AM90" s="576"/>
      <c r="AN90" s="576"/>
      <c r="AO90" s="576"/>
      <c r="AP90" s="576"/>
      <c r="AQ90" s="576"/>
      <c r="AR90" s="577"/>
      <c r="AS90" s="575">
        <f>O90+AI90</f>
        <v>0</v>
      </c>
      <c r="AT90" s="576"/>
      <c r="AU90" s="576"/>
      <c r="AV90" s="576"/>
      <c r="AW90" s="576"/>
      <c r="AX90" s="576"/>
      <c r="AY90" s="576"/>
      <c r="AZ90" s="576"/>
      <c r="BA90" s="576"/>
      <c r="BB90" s="579"/>
    </row>
    <row r="91" spans="2:54" ht="31.5" customHeight="1" thickTop="1" x14ac:dyDescent="0.15">
      <c r="B91" s="139"/>
      <c r="C91" s="569" t="s">
        <v>96</v>
      </c>
      <c r="D91" s="570"/>
      <c r="E91" s="570"/>
      <c r="F91" s="570"/>
      <c r="G91" s="570"/>
      <c r="H91" s="570"/>
      <c r="I91" s="570"/>
      <c r="J91" s="570"/>
      <c r="K91" s="570"/>
      <c r="L91" s="570"/>
      <c r="M91" s="571"/>
      <c r="N91" s="140"/>
      <c r="O91" s="572">
        <f>SUM(O73:X90)</f>
        <v>0</v>
      </c>
      <c r="P91" s="573"/>
      <c r="Q91" s="573"/>
      <c r="R91" s="573"/>
      <c r="S91" s="573"/>
      <c r="T91" s="573"/>
      <c r="U91" s="573"/>
      <c r="V91" s="573"/>
      <c r="W91" s="573"/>
      <c r="X91" s="574"/>
      <c r="Y91" s="566">
        <f>SUM(Y73:AD90)</f>
        <v>0</v>
      </c>
      <c r="Z91" s="567"/>
      <c r="AA91" s="567"/>
      <c r="AB91" s="567"/>
      <c r="AC91" s="567"/>
      <c r="AD91" s="568"/>
      <c r="AE91" s="557"/>
      <c r="AF91" s="558"/>
      <c r="AG91" s="558"/>
      <c r="AH91" s="559"/>
      <c r="AI91" s="554">
        <f>SUM(AI73:AR90)</f>
        <v>0</v>
      </c>
      <c r="AJ91" s="555"/>
      <c r="AK91" s="555"/>
      <c r="AL91" s="555"/>
      <c r="AM91" s="555"/>
      <c r="AN91" s="555"/>
      <c r="AO91" s="555"/>
      <c r="AP91" s="555"/>
      <c r="AQ91" s="555"/>
      <c r="AR91" s="578"/>
      <c r="AS91" s="554">
        <f>SUM(AS73:BB90)</f>
        <v>0</v>
      </c>
      <c r="AT91" s="555"/>
      <c r="AU91" s="555"/>
      <c r="AV91" s="555"/>
      <c r="AW91" s="555"/>
      <c r="AX91" s="555"/>
      <c r="AY91" s="555"/>
      <c r="AZ91" s="555"/>
      <c r="BA91" s="555"/>
      <c r="BB91" s="556"/>
    </row>
    <row r="92" spans="2:54" ht="6" customHeight="1" x14ac:dyDescent="0.15"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5"/>
      <c r="N92" s="135"/>
      <c r="O92" s="141"/>
      <c r="P92" s="135"/>
      <c r="Q92" s="135"/>
      <c r="R92" s="135"/>
      <c r="S92" s="135"/>
      <c r="T92" s="135"/>
      <c r="U92" s="135"/>
      <c r="V92" s="135"/>
      <c r="W92" s="135"/>
      <c r="X92" s="135"/>
      <c r="AE92" s="142"/>
      <c r="AF92" s="143"/>
      <c r="AG92" s="143"/>
      <c r="AH92" s="143"/>
      <c r="AI92" s="141"/>
      <c r="AJ92" s="144"/>
      <c r="AK92" s="144"/>
      <c r="AL92" s="144"/>
      <c r="AM92" s="144"/>
      <c r="AN92" s="144"/>
      <c r="AO92" s="144"/>
      <c r="AP92" s="144"/>
      <c r="AQ92" s="144"/>
      <c r="AR92" s="144"/>
      <c r="AS92" s="141"/>
      <c r="AT92" s="144"/>
      <c r="AU92" s="144"/>
      <c r="AV92" s="144"/>
      <c r="AW92" s="144"/>
      <c r="AX92" s="144"/>
      <c r="AY92" s="144"/>
      <c r="AZ92" s="144"/>
      <c r="BA92" s="144"/>
      <c r="BB92" s="144"/>
    </row>
    <row r="93" spans="2:54" ht="13.5" customHeight="1" x14ac:dyDescent="0.15">
      <c r="B93" s="538" t="s">
        <v>97</v>
      </c>
      <c r="C93" s="538"/>
      <c r="D93" s="538"/>
      <c r="E93" s="539" t="s">
        <v>105</v>
      </c>
      <c r="F93" s="539"/>
      <c r="G93" s="539"/>
      <c r="H93" s="539"/>
      <c r="I93" s="539"/>
      <c r="J93" s="539"/>
      <c r="K93" s="539"/>
      <c r="L93" s="539"/>
      <c r="M93" s="539"/>
      <c r="N93" s="539"/>
      <c r="O93" s="539"/>
      <c r="P93" s="539"/>
      <c r="Q93" s="539"/>
      <c r="R93" s="539"/>
      <c r="S93" s="539"/>
      <c r="T93" s="539"/>
      <c r="U93" s="539"/>
      <c r="V93" s="539"/>
      <c r="W93" s="539"/>
      <c r="X93" s="539"/>
      <c r="Y93" s="539"/>
      <c r="Z93" s="539"/>
      <c r="AA93" s="539"/>
      <c r="AB93" s="539"/>
      <c r="AC93" s="539"/>
      <c r="AD93" s="539"/>
      <c r="AE93" s="539"/>
      <c r="AF93" s="539"/>
      <c r="AG93" s="539"/>
      <c r="AH93" s="539"/>
      <c r="AI93" s="539"/>
      <c r="AJ93" s="539"/>
      <c r="AK93" s="539"/>
      <c r="AL93" s="539"/>
      <c r="AM93" s="539"/>
      <c r="AN93" s="539"/>
      <c r="AO93" s="539"/>
      <c r="AP93" s="539"/>
      <c r="AQ93" s="539"/>
      <c r="AR93" s="539"/>
      <c r="AS93" s="539"/>
      <c r="AT93" s="539"/>
      <c r="AU93" s="539"/>
      <c r="AV93" s="539"/>
      <c r="AW93" s="539"/>
      <c r="AX93" s="539"/>
      <c r="AY93" s="539"/>
      <c r="AZ93" s="539"/>
      <c r="BA93" s="539"/>
      <c r="BB93" s="539"/>
    </row>
    <row r="94" spans="2:54" ht="13.5" customHeight="1" x14ac:dyDescent="0.15">
      <c r="B94" s="145"/>
      <c r="E94" s="539" t="s">
        <v>98</v>
      </c>
      <c r="F94" s="539"/>
      <c r="G94" s="539"/>
      <c r="H94" s="539"/>
      <c r="I94" s="539"/>
      <c r="J94" s="539"/>
      <c r="K94" s="539"/>
      <c r="L94" s="539"/>
      <c r="M94" s="539"/>
      <c r="N94" s="539"/>
      <c r="O94" s="539"/>
      <c r="P94" s="539"/>
      <c r="Q94" s="539"/>
      <c r="R94" s="539"/>
      <c r="S94" s="539"/>
      <c r="T94" s="539"/>
      <c r="U94" s="539"/>
      <c r="V94" s="539"/>
      <c r="W94" s="539"/>
      <c r="X94" s="539"/>
      <c r="Y94" s="539"/>
      <c r="Z94" s="539"/>
      <c r="AA94" s="539"/>
      <c r="AB94" s="539"/>
      <c r="AC94" s="539"/>
      <c r="AD94" s="539"/>
      <c r="AE94" s="539"/>
      <c r="AF94" s="539"/>
      <c r="AG94" s="539"/>
      <c r="AH94" s="539"/>
      <c r="AI94" s="539"/>
      <c r="AJ94" s="539"/>
      <c r="AK94" s="539"/>
      <c r="AL94" s="539"/>
      <c r="AM94" s="539"/>
      <c r="AN94" s="539"/>
      <c r="AO94" s="539"/>
      <c r="AP94" s="539"/>
      <c r="AQ94" s="539"/>
      <c r="AR94" s="539"/>
      <c r="AS94" s="539"/>
      <c r="AT94" s="539"/>
      <c r="AU94" s="539"/>
      <c r="AV94" s="539"/>
      <c r="AW94" s="539"/>
      <c r="AX94" s="539"/>
      <c r="AY94" s="539"/>
      <c r="AZ94" s="539"/>
      <c r="BA94" s="539"/>
      <c r="BB94" s="539"/>
    </row>
  </sheetData>
  <sheetProtection selectLockedCells="1"/>
  <mergeCells count="408">
    <mergeCell ref="B93:D93"/>
    <mergeCell ref="E93:BB93"/>
    <mergeCell ref="E94:BB94"/>
    <mergeCell ref="X34:AL34"/>
    <mergeCell ref="AN34:BB34"/>
    <mergeCell ref="X65:AL65"/>
    <mergeCell ref="AN65:BB65"/>
    <mergeCell ref="AI90:AR90"/>
    <mergeCell ref="AS90:BB90"/>
    <mergeCell ref="C91:M91"/>
    <mergeCell ref="AS91:BB91"/>
    <mergeCell ref="C90:M90"/>
    <mergeCell ref="O90:X90"/>
    <mergeCell ref="Y90:AD90"/>
    <mergeCell ref="AE90:AH90"/>
    <mergeCell ref="O91:X91"/>
    <mergeCell ref="Y91:AD91"/>
    <mergeCell ref="AE91:AH91"/>
    <mergeCell ref="AI91:AR91"/>
    <mergeCell ref="AS86:BB86"/>
    <mergeCell ref="AI87:AR87"/>
    <mergeCell ref="AS87:BB87"/>
    <mergeCell ref="AI88:AR88"/>
    <mergeCell ref="AS88:BB88"/>
    <mergeCell ref="AI89:AR89"/>
    <mergeCell ref="AS89:BB89"/>
    <mergeCell ref="C88:M88"/>
    <mergeCell ref="O88:X88"/>
    <mergeCell ref="C89:M89"/>
    <mergeCell ref="O89:X89"/>
    <mergeCell ref="Y89:AD89"/>
    <mergeCell ref="AE89:AH89"/>
    <mergeCell ref="Y88:AD88"/>
    <mergeCell ref="AE88:AH88"/>
    <mergeCell ref="C87:M87"/>
    <mergeCell ref="O87:X87"/>
    <mergeCell ref="Y87:AD87"/>
    <mergeCell ref="AE87:AH87"/>
    <mergeCell ref="C86:M86"/>
    <mergeCell ref="O86:X86"/>
    <mergeCell ref="Y86:AD86"/>
    <mergeCell ref="AE86:AH86"/>
    <mergeCell ref="AI86:AR86"/>
    <mergeCell ref="AI84:AR84"/>
    <mergeCell ref="AS84:BB84"/>
    <mergeCell ref="AI85:AR85"/>
    <mergeCell ref="AS85:BB85"/>
    <mergeCell ref="C84:M84"/>
    <mergeCell ref="O84:X84"/>
    <mergeCell ref="C85:M85"/>
    <mergeCell ref="O85:X85"/>
    <mergeCell ref="Y85:AD85"/>
    <mergeCell ref="AE85:AH85"/>
    <mergeCell ref="Y84:AD84"/>
    <mergeCell ref="AE84:AH84"/>
    <mergeCell ref="C81:M81"/>
    <mergeCell ref="O81:X81"/>
    <mergeCell ref="Y81:AD81"/>
    <mergeCell ref="AE81:AH81"/>
    <mergeCell ref="AI81:AR81"/>
    <mergeCell ref="AS81:BB81"/>
    <mergeCell ref="C83:M83"/>
    <mergeCell ref="O83:X83"/>
    <mergeCell ref="Y83:AD83"/>
    <mergeCell ref="AE83:AH83"/>
    <mergeCell ref="C82:M82"/>
    <mergeCell ref="O82:X82"/>
    <mergeCell ref="Y82:AD82"/>
    <mergeCell ref="AE82:AH82"/>
    <mergeCell ref="AI82:AR82"/>
    <mergeCell ref="AS82:BB82"/>
    <mergeCell ref="AI83:AR83"/>
    <mergeCell ref="AS83:BB83"/>
    <mergeCell ref="AI79:AR79"/>
    <mergeCell ref="AS79:BB79"/>
    <mergeCell ref="Y79:AD79"/>
    <mergeCell ref="AE79:AH79"/>
    <mergeCell ref="C78:M78"/>
    <mergeCell ref="O78:X78"/>
    <mergeCell ref="Y78:AD78"/>
    <mergeCell ref="AE78:AH78"/>
    <mergeCell ref="AI80:AR80"/>
    <mergeCell ref="AS80:BB80"/>
    <mergeCell ref="C80:M80"/>
    <mergeCell ref="O80:X80"/>
    <mergeCell ref="C79:M79"/>
    <mergeCell ref="O79:X79"/>
    <mergeCell ref="Y80:AD80"/>
    <mergeCell ref="AE80:AH80"/>
    <mergeCell ref="C77:M77"/>
    <mergeCell ref="O77:X77"/>
    <mergeCell ref="Y76:AD76"/>
    <mergeCell ref="AE76:AH76"/>
    <mergeCell ref="AI77:AR77"/>
    <mergeCell ref="AS77:BB77"/>
    <mergeCell ref="Y77:AD77"/>
    <mergeCell ref="AE77:AH77"/>
    <mergeCell ref="AI78:AR78"/>
    <mergeCell ref="AS78:BB78"/>
    <mergeCell ref="AI76:AR76"/>
    <mergeCell ref="AS76:BB76"/>
    <mergeCell ref="C75:M75"/>
    <mergeCell ref="O75:X75"/>
    <mergeCell ref="Y75:AD75"/>
    <mergeCell ref="AE75:AH75"/>
    <mergeCell ref="AI75:AR75"/>
    <mergeCell ref="AS75:BB75"/>
    <mergeCell ref="C76:M76"/>
    <mergeCell ref="O76:X76"/>
    <mergeCell ref="AS73:BB73"/>
    <mergeCell ref="AS74:BB74"/>
    <mergeCell ref="AI73:AR73"/>
    <mergeCell ref="C74:M74"/>
    <mergeCell ref="O74:X74"/>
    <mergeCell ref="Y74:AD74"/>
    <mergeCell ref="AE74:AH74"/>
    <mergeCell ref="O72:X72"/>
    <mergeCell ref="O73:X73"/>
    <mergeCell ref="Y73:AD73"/>
    <mergeCell ref="AE73:AH73"/>
    <mergeCell ref="AI74:AR74"/>
    <mergeCell ref="C73:M73"/>
    <mergeCell ref="Y70:AR70"/>
    <mergeCell ref="AM68:BB69"/>
    <mergeCell ref="B70:M72"/>
    <mergeCell ref="O70:X71"/>
    <mergeCell ref="Y71:AD71"/>
    <mergeCell ref="AE71:AH71"/>
    <mergeCell ref="AI71:AR71"/>
    <mergeCell ref="AS72:BB72"/>
    <mergeCell ref="Y72:AD72"/>
    <mergeCell ref="AS70:BB71"/>
    <mergeCell ref="AE72:AH72"/>
    <mergeCell ref="AI72:AR72"/>
    <mergeCell ref="B62:D62"/>
    <mergeCell ref="E62:BB62"/>
    <mergeCell ref="E63:BB63"/>
    <mergeCell ref="B67:BB67"/>
    <mergeCell ref="AI60:AR60"/>
    <mergeCell ref="AS60:BB60"/>
    <mergeCell ref="B68:J69"/>
    <mergeCell ref="K68:AD69"/>
    <mergeCell ref="AE68:AL69"/>
    <mergeCell ref="AS57:BB57"/>
    <mergeCell ref="AI58:AR58"/>
    <mergeCell ref="AS58:BB58"/>
    <mergeCell ref="AI59:AR59"/>
    <mergeCell ref="AS59:BB59"/>
    <mergeCell ref="C59:M59"/>
    <mergeCell ref="O59:X59"/>
    <mergeCell ref="C60:M60"/>
    <mergeCell ref="O60:X60"/>
    <mergeCell ref="Y60:AD60"/>
    <mergeCell ref="AE60:AH60"/>
    <mergeCell ref="Y59:AD59"/>
    <mergeCell ref="AE59:AH59"/>
    <mergeCell ref="C58:M58"/>
    <mergeCell ref="O58:X58"/>
    <mergeCell ref="Y58:AD58"/>
    <mergeCell ref="AE58:AH58"/>
    <mergeCell ref="C57:M57"/>
    <mergeCell ref="O57:X57"/>
    <mergeCell ref="Y57:AD57"/>
    <mergeCell ref="AE57:AH57"/>
    <mergeCell ref="AI57:AR57"/>
    <mergeCell ref="AS53:BB53"/>
    <mergeCell ref="AI54:AR54"/>
    <mergeCell ref="AS54:BB54"/>
    <mergeCell ref="AI55:AR55"/>
    <mergeCell ref="AS55:BB55"/>
    <mergeCell ref="AI56:AR56"/>
    <mergeCell ref="AS56:BB56"/>
    <mergeCell ref="C55:M55"/>
    <mergeCell ref="O55:X55"/>
    <mergeCell ref="C56:M56"/>
    <mergeCell ref="O56:X56"/>
    <mergeCell ref="Y56:AD56"/>
    <mergeCell ref="AE56:AH56"/>
    <mergeCell ref="Y55:AD55"/>
    <mergeCell ref="AE55:AH55"/>
    <mergeCell ref="C54:M54"/>
    <mergeCell ref="O54:X54"/>
    <mergeCell ref="Y54:AD54"/>
    <mergeCell ref="AE54:AH54"/>
    <mergeCell ref="C53:M53"/>
    <mergeCell ref="O53:X53"/>
    <mergeCell ref="Y53:AD53"/>
    <mergeCell ref="AE53:AH53"/>
    <mergeCell ref="AI53:AR53"/>
    <mergeCell ref="AS49:BB49"/>
    <mergeCell ref="AI50:AR50"/>
    <mergeCell ref="AS50:BB50"/>
    <mergeCell ref="AI51:AR51"/>
    <mergeCell ref="AS51:BB51"/>
    <mergeCell ref="AI52:AR52"/>
    <mergeCell ref="AS52:BB52"/>
    <mergeCell ref="C51:M51"/>
    <mergeCell ref="O51:X51"/>
    <mergeCell ref="C52:M52"/>
    <mergeCell ref="O52:X52"/>
    <mergeCell ref="Y52:AD52"/>
    <mergeCell ref="AE52:AH52"/>
    <mergeCell ref="Y51:AD51"/>
    <mergeCell ref="AE51:AH51"/>
    <mergeCell ref="C50:M50"/>
    <mergeCell ref="O50:X50"/>
    <mergeCell ref="Y50:AD50"/>
    <mergeCell ref="AE50:AH50"/>
    <mergeCell ref="C49:M49"/>
    <mergeCell ref="O49:X49"/>
    <mergeCell ref="Y49:AD49"/>
    <mergeCell ref="AE49:AH49"/>
    <mergeCell ref="AI49:AR49"/>
    <mergeCell ref="AI48:AR48"/>
    <mergeCell ref="AS48:BB48"/>
    <mergeCell ref="C47:M47"/>
    <mergeCell ref="O47:X47"/>
    <mergeCell ref="C48:M48"/>
    <mergeCell ref="O48:X48"/>
    <mergeCell ref="Y48:AD48"/>
    <mergeCell ref="AE48:AH48"/>
    <mergeCell ref="Y47:AD47"/>
    <mergeCell ref="AE47:AH47"/>
    <mergeCell ref="C45:M45"/>
    <mergeCell ref="O45:X45"/>
    <mergeCell ref="O43:X43"/>
    <mergeCell ref="AI44:AR44"/>
    <mergeCell ref="AI47:AR47"/>
    <mergeCell ref="AS47:BB47"/>
    <mergeCell ref="AI45:AR45"/>
    <mergeCell ref="AS45:BB45"/>
    <mergeCell ref="AI46:AR46"/>
    <mergeCell ref="AS46:BB46"/>
    <mergeCell ref="C46:M46"/>
    <mergeCell ref="O46:X46"/>
    <mergeCell ref="Y46:AD46"/>
    <mergeCell ref="AE46:AH46"/>
    <mergeCell ref="Y45:AD45"/>
    <mergeCell ref="AE45:AH45"/>
    <mergeCell ref="AS44:BB44"/>
    <mergeCell ref="Y44:AD44"/>
    <mergeCell ref="AE44:AH44"/>
    <mergeCell ref="Y43:AD43"/>
    <mergeCell ref="AE43:AH43"/>
    <mergeCell ref="AS43:BB43"/>
    <mergeCell ref="C42:M42"/>
    <mergeCell ref="O42:X42"/>
    <mergeCell ref="Y42:AD42"/>
    <mergeCell ref="C44:M44"/>
    <mergeCell ref="O44:X44"/>
    <mergeCell ref="AI43:AR43"/>
    <mergeCell ref="C43:M43"/>
    <mergeCell ref="B36:BB36"/>
    <mergeCell ref="B37:J38"/>
    <mergeCell ref="K37:AD38"/>
    <mergeCell ref="AE37:AL38"/>
    <mergeCell ref="AM37:BB38"/>
    <mergeCell ref="AI41:AR41"/>
    <mergeCell ref="AS41:BB41"/>
    <mergeCell ref="AI42:AR42"/>
    <mergeCell ref="AS42:BB42"/>
    <mergeCell ref="O39:X40"/>
    <mergeCell ref="Y39:AR39"/>
    <mergeCell ref="AS39:BB40"/>
    <mergeCell ref="Y40:AD40"/>
    <mergeCell ref="AE40:AH40"/>
    <mergeCell ref="AI40:AR40"/>
    <mergeCell ref="O41:X41"/>
    <mergeCell ref="Y41:AD41"/>
    <mergeCell ref="AE42:AH42"/>
    <mergeCell ref="AE41:AH41"/>
    <mergeCell ref="B39:M41"/>
    <mergeCell ref="AN3:BB3"/>
    <mergeCell ref="X3:AL3"/>
    <mergeCell ref="K6:AD7"/>
    <mergeCell ref="C11:M11"/>
    <mergeCell ref="AI9:AR9"/>
    <mergeCell ref="Y9:AD9"/>
    <mergeCell ref="AS8:BB9"/>
    <mergeCell ref="C13:M13"/>
    <mergeCell ref="Y13:AD13"/>
    <mergeCell ref="AS10:BB10"/>
    <mergeCell ref="B5:BB5"/>
    <mergeCell ref="B8:M10"/>
    <mergeCell ref="C12:M12"/>
    <mergeCell ref="AE6:AL7"/>
    <mergeCell ref="AM6:BB7"/>
    <mergeCell ref="AI10:AR10"/>
    <mergeCell ref="AS11:BB11"/>
    <mergeCell ref="O8:X9"/>
    <mergeCell ref="O10:X10"/>
    <mergeCell ref="O11:X11"/>
    <mergeCell ref="O12:X12"/>
    <mergeCell ref="AS12:BB12"/>
    <mergeCell ref="AE12:AH12"/>
    <mergeCell ref="AI11:AR11"/>
    <mergeCell ref="AI12:AR12"/>
    <mergeCell ref="C21:M21"/>
    <mergeCell ref="C22:M22"/>
    <mergeCell ref="C23:M23"/>
    <mergeCell ref="O16:X16"/>
    <mergeCell ref="AS19:BB19"/>
    <mergeCell ref="AS20:BB20"/>
    <mergeCell ref="O23:X23"/>
    <mergeCell ref="AI23:AR23"/>
    <mergeCell ref="AE23:AH23"/>
    <mergeCell ref="AS21:BB21"/>
    <mergeCell ref="AS22:BB22"/>
    <mergeCell ref="O21:X21"/>
    <mergeCell ref="O22:X22"/>
    <mergeCell ref="AI21:AR21"/>
    <mergeCell ref="Y23:AD23"/>
    <mergeCell ref="AS23:BB23"/>
    <mergeCell ref="Y18:AD18"/>
    <mergeCell ref="AE17:AH17"/>
    <mergeCell ref="AE18:AH18"/>
    <mergeCell ref="AE16:AH16"/>
    <mergeCell ref="O25:X25"/>
    <mergeCell ref="O24:X24"/>
    <mergeCell ref="O20:X20"/>
    <mergeCell ref="Y8:AR8"/>
    <mergeCell ref="B6:J7"/>
    <mergeCell ref="Y10:AD10"/>
    <mergeCell ref="AE9:AH9"/>
    <mergeCell ref="C25:M25"/>
    <mergeCell ref="C14:M14"/>
    <mergeCell ref="C15:M15"/>
    <mergeCell ref="C16:M16"/>
    <mergeCell ref="C17:M17"/>
    <mergeCell ref="O14:X14"/>
    <mergeCell ref="O13:X13"/>
    <mergeCell ref="AI13:AR13"/>
    <mergeCell ref="AI14:AR14"/>
    <mergeCell ref="AE22:AH22"/>
    <mergeCell ref="Y22:AD22"/>
    <mergeCell ref="AI22:AR22"/>
    <mergeCell ref="AE21:AH21"/>
    <mergeCell ref="AI19:AR19"/>
    <mergeCell ref="O19:X19"/>
    <mergeCell ref="AI20:AR20"/>
    <mergeCell ref="Y11:AD11"/>
    <mergeCell ref="AE15:AH15"/>
    <mergeCell ref="Y16:AD16"/>
    <mergeCell ref="Y17:AD17"/>
    <mergeCell ref="AE13:AH13"/>
    <mergeCell ref="AE14:AH14"/>
    <mergeCell ref="Y14:AD14"/>
    <mergeCell ref="AE10:AH10"/>
    <mergeCell ref="AE11:AH11"/>
    <mergeCell ref="Y12:AD12"/>
    <mergeCell ref="AS13:BB13"/>
    <mergeCell ref="AS14:BB14"/>
    <mergeCell ref="AS16:BB16"/>
    <mergeCell ref="AI15:AR15"/>
    <mergeCell ref="AI16:AR16"/>
    <mergeCell ref="AS15:BB15"/>
    <mergeCell ref="AS18:BB18"/>
    <mergeCell ref="AI17:AR17"/>
    <mergeCell ref="AI18:AR18"/>
    <mergeCell ref="AS17:BB17"/>
    <mergeCell ref="AS25:BB25"/>
    <mergeCell ref="AI25:AR25"/>
    <mergeCell ref="AE25:AH25"/>
    <mergeCell ref="Y25:AD25"/>
    <mergeCell ref="AS24:BB24"/>
    <mergeCell ref="AS28:BB28"/>
    <mergeCell ref="C27:M27"/>
    <mergeCell ref="AS27:BB27"/>
    <mergeCell ref="C28:M28"/>
    <mergeCell ref="AE27:AH27"/>
    <mergeCell ref="AI24:AR24"/>
    <mergeCell ref="AS26:BB26"/>
    <mergeCell ref="O26:X26"/>
    <mergeCell ref="O27:X27"/>
    <mergeCell ref="AI26:AR26"/>
    <mergeCell ref="AI27:AR27"/>
    <mergeCell ref="AE26:AH26"/>
    <mergeCell ref="Y27:AD27"/>
    <mergeCell ref="Y26:AD26"/>
    <mergeCell ref="C26:M26"/>
    <mergeCell ref="O28:X28"/>
    <mergeCell ref="AE24:AH24"/>
    <mergeCell ref="Y24:AD24"/>
    <mergeCell ref="C24:M24"/>
    <mergeCell ref="B31:D31"/>
    <mergeCell ref="E31:BB31"/>
    <mergeCell ref="E32:BB32"/>
    <mergeCell ref="Y15:AD15"/>
    <mergeCell ref="Y28:AD28"/>
    <mergeCell ref="C20:M20"/>
    <mergeCell ref="C18:M18"/>
    <mergeCell ref="C19:M19"/>
    <mergeCell ref="O18:X18"/>
    <mergeCell ref="AS29:BB29"/>
    <mergeCell ref="Y19:AD19"/>
    <mergeCell ref="O15:X15"/>
    <mergeCell ref="O17:X17"/>
    <mergeCell ref="AE29:AH29"/>
    <mergeCell ref="AE19:AH19"/>
    <mergeCell ref="AE20:AH20"/>
    <mergeCell ref="AE28:AH28"/>
    <mergeCell ref="Y29:AD29"/>
    <mergeCell ref="Y20:AD20"/>
    <mergeCell ref="Y21:AD21"/>
    <mergeCell ref="C29:M29"/>
    <mergeCell ref="O29:X29"/>
    <mergeCell ref="AI28:AR28"/>
    <mergeCell ref="AI29:AR29"/>
  </mergeCells>
  <phoneticPr fontId="2"/>
  <dataValidations count="1">
    <dataValidation imeMode="off" allowBlank="1" showInputMessage="1" showErrorMessage="1" sqref="O42:AD59 O11:AD28 O73:AD90" xr:uid="{00000000-0002-0000-0400-000000000000}"/>
  </dataValidations>
  <pageMargins left="0.98425196850393704" right="0.59055118110236227" top="0.59055118110236227" bottom="0.39370078740157483" header="0.39370078740157483" footer="0.39370078740157483"/>
  <pageSetup paperSize="9" orientation="portrait" blackAndWhite="1" r:id="rId1"/>
  <headerFooter alignWithMargins="0">
    <oddHeader>&amp;L&amp;"ＭＳ 明朝,標準"&amp;12別記第５号様式の附表（その２）</oddHeader>
  </headerFooter>
  <rowBreaks count="2" manualBreakCount="2">
    <brk id="32" min="1" max="53" man="1"/>
    <brk id="63" min="1" max="5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2" r:id="rId4" name="Button 4">
              <controlPr defaultSize="0" print="0" autoFill="0" autoPict="0" macro="[0]!データ削除">
                <anchor moveWithCells="1" sizeWithCells="1">
                  <from>
                    <xdr:col>45</xdr:col>
                    <xdr:colOff>47625</xdr:colOff>
                    <xdr:row>4</xdr:row>
                    <xdr:rowOff>38100</xdr:rowOff>
                  </from>
                  <to>
                    <xdr:col>52</xdr:col>
                    <xdr:colOff>66675</xdr:colOff>
                    <xdr:row>4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基本データ</vt:lpstr>
      <vt:lpstr>納入・納付申告書</vt:lpstr>
      <vt:lpstr>附表１</vt:lpstr>
      <vt:lpstr>委附表2</vt:lpstr>
      <vt:lpstr>自附表2</vt:lpstr>
      <vt:lpstr>委附表2!Print_Area</vt:lpstr>
      <vt:lpstr>自附表2!Print_Area</vt:lpstr>
      <vt:lpstr>納入・納付申告書!Print_Area</vt:lpstr>
      <vt:lpstr>附表１!Print_Area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</dc:creator>
  <cp:lastModifiedBy>清田 真生</cp:lastModifiedBy>
  <cp:lastPrinted>2025-07-25T07:42:15Z</cp:lastPrinted>
  <dcterms:created xsi:type="dcterms:W3CDTF">1997-01-08T22:48:59Z</dcterms:created>
  <dcterms:modified xsi:type="dcterms:W3CDTF">2026-05-26T06:15:05Z</dcterms:modified>
</cp:coreProperties>
</file>